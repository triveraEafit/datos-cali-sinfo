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1. Fuentes" sheetId="2" state="visible" r:id="rId4"/>
    <sheet name="2. Diccionario" sheetId="3" state="visible" r:id="rId5"/>
    <sheet name="3. Bitácora IA" sheetId="4" state="visible" r:id="rId6"/>
    <sheet name="Resum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<sst xmlns="http://schemas.openxmlformats.org/spreadsheetml/2006/main" count="828" uniqueCount="451">
  <si>
    <t xml:space="preserve">Taller de datos · Entrega 1 · El lago y su diccionario</t>
  </si>
  <si>
    <t xml:space="preserve">Tópicos de Sistemas de Información · Profesor Santiago Jiménez Londoño · topicos-si.vercel.app/Tallerdatos</t>
  </si>
  <si>
    <t xml:space="preserve">Datos del grupo</t>
  </si>
  <si>
    <t xml:space="preserve">Ciudad elegida:</t>
  </si>
  <si>
    <t xml:space="preserve">Cali</t>
  </si>
  <si>
    <t xml:space="preserve">Integrantes:</t>
  </si>
  <si>
    <t xml:space="preserve">Tomas Gañan Rivera y David Ramirez</t>
  </si>
  <si>
    <t xml:space="preserve">Enlace al repositorio o a la carpeta del lago:</t>
  </si>
  <si>
    <t xml:space="preserve">https://github.com/triveraEafit/datos-cali-sinfo</t>
  </si>
  <si>
    <t xml:space="preserve">Qué entregan en este archivo</t>
  </si>
  <si>
    <t xml:space="preserve">1. Fuentes · una fila por cada fuente que encontraron en el rastreo, entre o no al lago. Las descartadas también cuentan: explican las decisiones.</t>
  </si>
  <si>
    <t xml:space="preserve">2. Diccionario · una fila por cada campo (columna o clave del JSON) que quedó en el lago. Si un campo no está aquí, no existe.</t>
  </si>
  <si>
    <t xml:space="preserve">3. Bitácora IA · qué le encargaron a la IA durante la búsqueda, qué respondió y cómo lo comprobaron.</t>
  </si>
  <si>
    <t xml:space="preserve">Resumen · se llena solo con fórmulas. No lo editen.</t>
  </si>
  <si>
    <t xml:space="preserve">Cómo llenarlo</t>
  </si>
  <si>
    <t xml:space="preserve">• Escriban solo en las celdas amarillas. La fila gris de cada hoja es un ejemplo (Medellín): pueden borrarla o dejarla, el resumen no la cuenta.</t>
  </si>
  <si>
    <t xml:space="preserve">• El ID de fuente (F01, F02…) une las tres hojas: úsenlo igual en Fuentes, Diccionario y Bitácora IA.</t>
  </si>
  <si>
    <t xml:space="preserve">• Las columnas con lista desplegable solo aceptan esas opciones.</t>
  </si>
  <si>
    <t xml:space="preserve">• La licencia se copia tal como aparece en la fuente. Si la fuente no dice nada, escriban «no declara»: no la supongan.</t>
  </si>
  <si>
    <t xml:space="preserve">• «Fecha en que la probaron» es el día en que la descarga o la API respondió de verdad, no el día en que la IA la mencionó.</t>
  </si>
  <si>
    <t xml:space="preserve">• Una fuente que la IA nombró y que ustedes no pudieron abrir va igual en Fuentes, con estado «No responde» o «No existe».</t>
  </si>
  <si>
    <t xml:space="preserve">1. Catálogo de fuentes</t>
  </si>
  <si>
    <t xml:space="preserve">Una fila por fuente encontrada. Escriban en las celdas amarillas; la fila gris es un ejemplo.</t>
  </si>
  <si>
    <t xml:space="preserve">ID fuente</t>
  </si>
  <si>
    <t xml:space="preserve">Nombre del conjunto de datos</t>
  </si>
  <si>
    <t xml:space="preserve">Entidad que lo publica</t>
  </si>
  <si>
    <t xml:space="preserve">Tipo de publicador</t>
  </si>
  <si>
    <t xml:space="preserve">URL exacta (descarga o API)</t>
  </si>
  <si>
    <t xml:space="preserve">Formato</t>
  </si>
  <si>
    <t xml:space="preserve">Cómo se obtiene</t>
  </si>
  <si>
    <t xml:space="preserve">Licencia (tal como aparece)</t>
  </si>
  <si>
    <t xml:space="preserve">¿Trae datos de personas?</t>
  </si>
  <si>
    <t xml:space="preserve">Cobertura geográfica</t>
  </si>
  <si>
    <t xml:space="preserve">Periodo que cubre</t>
  </si>
  <si>
    <t xml:space="preserve">Frecuencia de actualización</t>
  </si>
  <si>
    <t xml:space="preserve">Fecha en que la probaron (AAAA-MM-DD)</t>
  </si>
  <si>
    <t xml:space="preserve">Estado</t>
  </si>
  <si>
    <t xml:space="preserve">Cómo la encontraron (IA o búsqueda)</t>
  </si>
  <si>
    <t xml:space="preserve">Observaciones</t>
  </si>
  <si>
    <t xml:space="preserve">F01</t>
  </si>
  <si>
    <t xml:space="preserve">Homicidios según sexo de la víctima, por año y comuna (1993–2021)</t>
  </si>
  <si>
    <t xml:space="preserve">Secretaría de Seguridad y Justicia (Alcaldía de Santiago de Cali) / Observatorio Social de Cali</t>
  </si>
  <si>
    <t xml:space="preserve">Entidad pública</t>
  </si>
  <si>
    <t xml:space="preserve">https://datos.cali.gov.co/api/3/action/datastore_search?resource_id=17d369c4-6ba0-4b77-b7e7-d034f70d6f97</t>
  </si>
  <si>
    <t xml:space="preserve">CSV</t>
  </si>
  <si>
    <t xml:space="preserve">API sin llave</t>
  </si>
  <si>
    <t xml:space="preserve">Creative Commons Attribution</t>
  </si>
  <si>
    <t xml:space="preserve">No</t>
  </si>
  <si>
    <t xml:space="preserve">Municipio de Santiago de Cali, por comuna (22 comunas urbanas), más zona rural y «Sin Dato»</t>
  </si>
  <si>
    <t xml:space="preserve">1993–2021</t>
  </si>
  <si>
    <t xml:space="preserve">No se sabe</t>
  </si>
  <si>
    <t xml:space="preserve">2026-10-06</t>
  </si>
  <si>
    <t xml:space="preserve">Integrada al lago</t>
  </si>
  <si>
    <t xml:space="preserve">Búsqueda guiada por IA en datos.cali.gov.co (tema homicidios)</t>
  </si>
  <si>
    <t xml:space="preserve">Archivo completo descargado por el grupo: 25 filas (22 comunas, zona rural, «Sin Dato» y total) y 87 columnas de año y sexo; en el lago quedó como una fila por comuna, año y sexo (1.392 filas). Las sumas cuadran (mujeres + hombres = total; Comuna 1 = 987 acumulados). OJO: 2019, 2020 y 2021 no son creíbles. El total de la ciudad pasa de 1.170 (2018) a 15.647 (2019), y en las comunas 2 a 22 todas las cifras de esos años son múltiplos exactos del número de la comuna, como si la fuente las hubiera multiplicado por él. No se corrigieron: se dejaron como vienen y se marcaron con dato_dudoso = 1. Solo 1993–2018 es confiable. No declara periodicidad de actualización.</t>
  </si>
  <si>
    <t xml:space="preserve">F02</t>
  </si>
  <si>
    <t xml:space="preserve">Incidentes de tránsito con lesionados en Santiago de Cali (2016–2025)</t>
  </si>
  <si>
    <t xml:space="preserve">Secretaría de Movilidad de Santiago de Cali</t>
  </si>
  <si>
    <t xml:space="preserve">https://datos.cali.gov.co/dataset/75c089ba-7df3-4816-b80f-c69c6e5362ae/resource/b5e009ef-8739-487d-bb0a-ffab613ce5cb/download/lesionados-en-santiago-de-cali-del-2016-2025.csv</t>
  </si>
  <si>
    <t xml:space="preserve">Descarga directa</t>
  </si>
  <si>
    <t xml:space="preserve">Personas identificables</t>
  </si>
  <si>
    <t xml:space="preserve">Municipio de Santiago de Cali; ubicación por dirección o cruce en texto libre (sin comuna ni coordenadas)</t>
  </si>
  <si>
    <t xml:space="preserve">2016-01-01 a 2025-09-27</t>
  </si>
  <si>
    <t xml:space="preserve">Anual</t>
  </si>
  <si>
    <t xml:space="preserve">Búsqueda guiada por IA en datos.cali.gov.co (organización Secretaría de Movilidad)</t>
  </si>
  <si>
    <t xml:space="preserve">La herramienta automática recibía error 403; el grupo la descargó a mano en el navegador: 51.236 filas, una por incidente reportado (no son conteos por zona). La estructura cambia con los años: 2018–2020 no trae dirección y las columnas de actor vial (automóvil, moto, ciclista, peatón) solo se llenan desde 2021. Fechas y horas vienen en varios formatos y se unificaron. Se quitó la columna con la placa del agente de tránsito y se borraron de 15 direcciones los datos de personas que traía la fuente (nombre y documento de lesionados, un teléfono, placas de vehículos, número de agente). La fuente no publica descripción de sus columnas. Ver pregunta 5 del documento.</t>
  </si>
  <si>
    <t xml:space="preserve">F03</t>
  </si>
  <si>
    <t xml:space="preserve">Índice de Calidad del Aire (ICA) por estación de monitoreo, serie diaria</t>
  </si>
  <si>
    <t xml:space="preserve">DAGMA — Departamento Administrativo de Gestión del Medio Ambiente (Alcaldía de Santiago de Cali)</t>
  </si>
  <si>
    <t xml:space="preserve">https://datos.cali.gov.co/api/3/action/datastore_search?resource_id=b247bee0-596c-4515-bdd4-2ebdf6542caf&amp;limit=5000</t>
  </si>
  <si>
    <t xml:space="preserve">Creative Commons Attribution Share-Alike</t>
  </si>
  <si>
    <t xml:space="preserve">Municipio de Santiago de Cali, por estación (ERA-Obrero, La Flora, Pance, Univalle, Base Aérea, Compartir, La Ermita, Cañaveralejo, Transitoria)</t>
  </si>
  <si>
    <t xml:space="preserve">2010-01-01 a 2020-09-30</t>
  </si>
  <si>
    <t xml:space="preserve">Mensual</t>
  </si>
  <si>
    <t xml:space="preserve">Búsqueda guiada por IA en datos.cali.gov.co (tema calidad del aire)</t>
  </si>
  <si>
    <t xml:space="preserve">Archivo completo descargado por el grupo: 3.926 registros, uno por día, del 2010-01-01 al 2020-09-30 (la primera revisión la tomó por mensual). La fuente trae día y mes invertidos cuando el día es ≤ 12 (el 2 de enero aparece como 2010-02-01): se corrigieron 1.419 fechas y se comprobó contra el orden del archivo. Los faltantes vienen como texto "ND" o "NA" y en el lago se dejan vacíos; solo el 61 % de las celdas tiene dato, porque las estaciones entraron en años distintos (la primera en 2010, la última en 2015). El encabezado de una estación viene mal escrito ("Cañav eralejo"). Sin "&amp;limit" la API entrega solo 100 filas.</t>
  </si>
  <si>
    <t xml:space="preserve">F04</t>
  </si>
  <si>
    <t xml:space="preserve">Programas ofertados por instituciones de Educación para el Trabajo y Desarrollo Humano (ETDH)</t>
  </si>
  <si>
    <t xml:space="preserve">Secretaría de Educación de Santiago de Cali</t>
  </si>
  <si>
    <t xml:space="preserve">https://datos.cali.gov.co/api/3/action/datastore_search?resource_id=d3d5d6ef-170e-408f-b3eb-9c6fa1570254&amp;limit=5000</t>
  </si>
  <si>
    <t xml:space="preserve">Municipio de Santiago de Cali</t>
  </si>
  <si>
    <t xml:space="preserve">2026 (corte vigente)</t>
  </si>
  <si>
    <t xml:space="preserve">Búsqueda guiada por IA en datos.cali.gov.co (tema educación)</t>
  </si>
  <si>
    <t xml:space="preserve">Confirmada con datastore_search: 2.427 registros reales. Archivo completo descargado por el grupo: 2.427 programas de 316 instituciones. Todo el texto viene en minúsculas; se dejó como viene. Sin "&amp;limit" la API entrega solo 100 filas; con "&amp;limit=5000" llegan las 2.427.</t>
  </si>
  <si>
    <t xml:space="preserve">F05</t>
  </si>
  <si>
    <t xml:space="preserve">Casos de posibles víctimas de trata de personas atendidas en Santiago de Cali</t>
  </si>
  <si>
    <t xml:space="preserve">Secretaría de Paz y Cultura Ciudadana</t>
  </si>
  <si>
    <t xml:space="preserve">https://datos.cali.gov.co/dataset/d4704522-f113-4154-9721-c66c41d21de9/resource/924fe20e-20dd-41e9-baa5-5a3ecd6b5218/download/casos-de-posibles-victimas-de-trata-de-personas-atendidas-en-santiago-de-cali.csv</t>
  </si>
  <si>
    <t xml:space="preserve">2017–2026</t>
  </si>
  <si>
    <t xml:space="preserve">Descartada</t>
  </si>
  <si>
    <t xml:space="preserve">Búsqueda guiada por IA en datos.cali.gov.co (tema trata de personas)</t>
  </si>
  <si>
    <t xml:space="preserve">Dato extremadamente sensible. Se revisó solo la lista de campos (datastore_search con limit=0), sin abrir registros: 95 filas, una por persona, con año, sexo, etnia, edad, estado civil, nivel educativo, finalidad y lugar de explotación. No trae nombre ni documento, pero con tan pocos casos la combinación de campos puede señalar a una persona. El grupo decidió dejarla por fuera del lago. Ver pregunta 5 del documento.</t>
  </si>
  <si>
    <t xml:space="preserve">F06</t>
  </si>
  <si>
    <t xml:space="preserve">Líderes y lideresas sociales amenazados, atendidos por la Alcaldía de Santiago de Cali</t>
  </si>
  <si>
    <t xml:space="preserve">https://datos.cali.gov.co/dataset/15bc0784-728c-4d11-a36f-c22982184f47/resource/9961f8af-35de-4d6a-8290-1e37684a66b3/download/lideres-lideresas-sociales-amenazados-cali.csv</t>
  </si>
  <si>
    <t xml:space="preserve">2020–2026</t>
  </si>
  <si>
    <t xml:space="preserve">Búsqueda guiada por IA en datos.cali.gov.co (tema líderes sociales amenazados)</t>
  </si>
  <si>
    <t xml:space="preserve">Se revisó solo la lista de campos (datastore_search con limit=0), sin abrir registros: 134 filas, una por persona, con año de la amenaza, sexo, etnia, país, ciudad y comuna de residencia, sector social de la organización, zona, mecanismo y antecedentes de amenaza. No trae nombre ni dirección, pero año + sexo + etnia + comuna + sector puede señalar a una sola persona ya amenazada. El grupo decidió dejarla por fuera del lago. Ver pregunta 5 del documento.</t>
  </si>
  <si>
    <t xml:space="preserve">F07</t>
  </si>
  <si>
    <t xml:space="preserve">Límite del suelo de expansión urbana (Plan de Ordenamiento Territorial)</t>
  </si>
  <si>
    <t xml:space="preserve">Departamento Administrativo de Planeación Municipal (DAPM)</t>
  </si>
  <si>
    <t xml:space="preserve">https://ws-idesc.cali.gov.co/geoserver/dapm/ows?service=WFS&amp;version=1.0.0&amp;request=GetFeature&amp;typeName=dapm:pdt_dpa_suelo_exp_urb&amp;outputFormat=SHAPE-ZIP</t>
  </si>
  <si>
    <t xml:space="preserve">Shapefile</t>
  </si>
  <si>
    <t xml:space="preserve">Municipio de Santiago de Cali (polígono de expansión urbana)</t>
  </si>
  <si>
    <t xml:space="preserve">Vigencia del POT (no declara serie histórica)</t>
  </si>
  <si>
    <t xml:space="preserve">2026-09-28</t>
  </si>
  <si>
    <t xml:space="preserve">Candidata</t>
  </si>
  <si>
    <t xml:space="preserve">Búsqueda guiada por IA en datos.cali.gov.co (capas geográficas / POT)</t>
  </si>
  <si>
    <t xml:space="preserve">También existe como servicio de mapa en vivo (WMS) en https://ws-idesc.cali.gov.co/geoserver/dapm/wms. El portal etiqueta la descarga como "RAR" aunque el contenido real es un shapefile (SHAPE-ZIP).</t>
  </si>
  <si>
    <t xml:space="preserve">F08</t>
  </si>
  <si>
    <t xml:space="preserve">Vistas mensuales del artículo «Cali» en Wikipedia en español</t>
  </si>
  <si>
    <t xml:space="preserve">Wikimedia Foundation</t>
  </si>
  <si>
    <t xml:space="preserve">Plataforma colaborativa</t>
  </si>
  <si>
    <t xml:space="preserve">https://wikimedia.org/api/rest_v1/metrics/pageviews/per-article/es.wikipedia/all-access/user/Cali/monthly/20250101/20260901</t>
  </si>
  <si>
    <t xml:space="preserve">JSON</t>
  </si>
  <si>
    <t xml:space="preserve">CC0</t>
  </si>
  <si>
    <t xml:space="preserve">Ciudad (artículo)</t>
  </si>
  <si>
    <t xml:space="preserve">2025-01 a 2026-08 (intentado, sin confirmar)</t>
  </si>
  <si>
    <t xml:space="preserve">No responde</t>
  </si>
  <si>
    <t xml:space="preserve">Réplica del ejemplo de Medellín (fila gris original), sugerida por la IA</t>
  </si>
  <si>
    <t xml:space="preserve">La API de Wikimedia suele ser pública y estable, pero nuestra herramienta de verificación no logró conectarse hoy (respondió "dominio solo caché"). No la damos por probada hasta abrirla en un navegador normal. Ver pregunta 4 del documento.</t>
  </si>
  <si>
    <t xml:space="preserve">F09</t>
  </si>
  <si>
    <t xml:space="preserve">Población total censada en Cali, por área (cabecera/resto), según fecha de censo</t>
  </si>
  <si>
    <t xml:space="preserve">Departamento Administrativo de Planeación Municipal, con cifras base DANE</t>
  </si>
  <si>
    <t xml:space="preserve">https://datos.cali.gov.co/api/3/action/datastore_search?resource_id=0fcd7b53-11a5-437b-8fbb-ce5d0d4324ea</t>
  </si>
  <si>
    <t xml:space="preserve">Municipio de Santiago de Cali (cabecera y resto)</t>
  </si>
  <si>
    <t xml:space="preserve">1912–2005</t>
  </si>
  <si>
    <t xml:space="preserve">Única vez</t>
  </si>
  <si>
    <t xml:space="preserve">Búsqueda guiada por IA en datos.cali.gov.co (tema población / censo)</t>
  </si>
  <si>
    <t xml:space="preserve">Archivo completo descargado por el grupo: 9 registros (censos de 1912 a 2005). Se queda corta: no incluye el censo de 2018 ni proyecciones recientes de DANE (ver pregunta 6 del documento). La fuente mezcla formatos: unas cifras traen punto de miles ("637.929") y otras no ("1418773"), y los porcentajes vienen como texto. Su columna «Día» repite la tasa de crecimiento en vez del día del censo; se quitó.</t>
  </si>
  <si>
    <t xml:space="preserve">F10</t>
  </si>
  <si>
    <t xml:space="preserve">Datos de rutas y horarios del sistema de transporte masivo MIO (formato GTFS)</t>
  </si>
  <si>
    <t xml:space="preserve">Metro Cali S.A.</t>
  </si>
  <si>
    <t xml:space="preserve">No se encontró URL de descarga oficial y vigente</t>
  </si>
  <si>
    <t xml:space="preserve">Otro</t>
  </si>
  <si>
    <t xml:space="preserve">Solo PDF o página</t>
  </si>
  <si>
    <t xml:space="preserve">No declara</t>
  </si>
  <si>
    <t xml:space="preserve">Sugerida por la IA como "fuente esperable" para un sistema de transporte masivo</t>
  </si>
  <si>
    <t xml:space="preserve">La IA aseguraba que debía existir un feed GTFS abierto; solo encontramos noticias, un observatorio municipal y un repositorio de un tercero no oficial, ningún portal con descarga confirmada por nosotros. Ver preguntas 3 y 4 del documento.</t>
  </si>
  <si>
    <t xml:space="preserve">2. Diccionario de datos</t>
  </si>
  <si>
    <t xml:space="preserve">Una fila por campo que quedó en el lago. Si un campo del lago no aparece aquí, no existe.</t>
  </si>
  <si>
    <t xml:space="preserve">Archivo o tabla en el lago</t>
  </si>
  <si>
    <t xml:space="preserve">Nombre del campo en el lago</t>
  </si>
  <si>
    <t xml:space="preserve">Nombre original en la fuente</t>
  </si>
  <si>
    <t xml:space="preserve">Qué significa (en una frase)</t>
  </si>
  <si>
    <t xml:space="preserve">Tipo de dato</t>
  </si>
  <si>
    <t xml:space="preserve">Unidad de medida</t>
  </si>
  <si>
    <t xml:space="preserve">Ejemplo de valor</t>
  </si>
  <si>
    <t xml:space="preserve">¿Puede venir vacío?</t>
  </si>
  <si>
    <t xml:space="preserve">Valores permitidos o rango</t>
  </si>
  <si>
    <t xml:space="preserve">Clasificación</t>
  </si>
  <si>
    <t xml:space="preserve">Transformación que le hicieron</t>
  </si>
  <si>
    <t xml:space="preserve">Pregunta del sistema que ayuda a responder</t>
  </si>
  <si>
    <t xml:space="preserve">lago/seguridad/homicidios_comuna_1993_2021.csv</t>
  </si>
  <si>
    <t xml:space="preserve">comuna</t>
  </si>
  <si>
    <t xml:space="preserve">Comuna</t>
  </si>
  <si>
    <t xml:space="preserve">Comuna urbana (1 a 22), zona rural o «Sin Dato» donde se registró el homicidio</t>
  </si>
  <si>
    <t xml:space="preserve">Texto</t>
  </si>
  <si>
    <t xml:space="preserve">N/A</t>
  </si>
  <si>
    <t xml:space="preserve">13</t>
  </si>
  <si>
    <t xml:space="preserve">{1, 2, …, 22, Rural, Sin Dato}</t>
  </si>
  <si>
    <t xml:space="preserve">Pública</t>
  </si>
  <si>
    <t xml:space="preserve">Se quitó la fila «Total» de la fuente, que se recalcula sumando</t>
  </si>
  <si>
    <t xml:space="preserve">¿Qué comunas concentran más homicidios?</t>
  </si>
  <si>
    <t xml:space="preserve">anio</t>
  </si>
  <si>
    <t xml:space="preserve">Encabezado de columna (F1993 … M2021)</t>
  </si>
  <si>
    <t xml:space="preserve">Año en que ocurrieron los homicidios</t>
  </si>
  <si>
    <t xml:space="preserve">Entero</t>
  </si>
  <si>
    <t xml:space="preserve">año</t>
  </si>
  <si>
    <t xml:space="preserve">2018</t>
  </si>
  <si>
    <t xml:space="preserve">La fuente trae una columna por año y sexo (87 columnas); se pasó a una fila por comuna, año y sexo</t>
  </si>
  <si>
    <t xml:space="preserve">¿Cómo ha cambiado la violencia homicida por comuna en casi 30 años?</t>
  </si>
  <si>
    <t xml:space="preserve">sexo</t>
  </si>
  <si>
    <t xml:space="preserve">Prefijo F o M del encabezado de columna</t>
  </si>
  <si>
    <t xml:space="preserve">Sexo de la víctima</t>
  </si>
  <si>
    <t xml:space="preserve">M</t>
  </si>
  <si>
    <t xml:space="preserve">{F, M}</t>
  </si>
  <si>
    <t xml:space="preserve">Sale del prefijo del nombre de la columna (F = mujer, M = hombre)</t>
  </si>
  <si>
    <t xml:space="preserve">¿Ha cambiado la proporción de víctimas mujeres/hombres en el tiempo?</t>
  </si>
  <si>
    <t xml:space="preserve">homicidios</t>
  </si>
  <si>
    <t xml:space="preserve">Valor de las columnas F1993 … M2021</t>
  </si>
  <si>
    <t xml:space="preserve">Número de homicidios de ese sexo en esa comuna y ese año</t>
  </si>
  <si>
    <t xml:space="preserve">casos</t>
  </si>
  <si>
    <t xml:space="preserve">95 (comuna 13, hombres, 2018)</t>
  </si>
  <si>
    <t xml:space="preserve">Sí</t>
  </si>
  <si>
    <t xml:space="preserve">≥ 0</t>
  </si>
  <si>
    <t xml:space="preserve">«SD» (sin dato) y celdas vacías de la fuente → vacío. No se guardan los totales por año ni el acumulado: se recalculan sumando</t>
  </si>
  <si>
    <t xml:space="preserve">dato_dudoso</t>
  </si>
  <si>
    <t xml:space="preserve">No existe en la fuente</t>
  </si>
  <si>
    <t xml:space="preserve">Vale 1 en los años 2019, 2020 y 2021, cuyas cifras en la fuente no son creíbles; 0 en los demás</t>
  </si>
  <si>
    <t xml:space="preserve">Booleano</t>
  </si>
  <si>
    <t xml:space="preserve">1 (cualquier fila de 2019)</t>
  </si>
  <si>
    <t xml:space="preserve">{0, 1}</t>
  </si>
  <si>
    <t xml:space="preserve">Campo creado por el grupo. En esos años el total de la ciudad pasa de 1.170 a más de 15.000 y las cifras de las comunas 2 a 22 son múltiplos exactos del número de la comuna. No se corrigieron: se dejaron como vienen y se marcaron</t>
  </si>
  <si>
    <t xml:space="preserve">¿Hasta qué año se pueden comparar las cifras de homicidios sin corregirlas?</t>
  </si>
  <si>
    <t xml:space="preserve">lago/movilidad/lesionados_transito_2016_2025.csv</t>
  </si>
  <si>
    <t xml:space="preserve">fecha</t>
  </si>
  <si>
    <t xml:space="preserve">Fecha</t>
  </si>
  <si>
    <t xml:space="preserve">Día en que se reportó el incidente de tránsito con lesionados</t>
  </si>
  <si>
    <t xml:space="preserve">2016-01-01</t>
  </si>
  <si>
    <t xml:space="preserve">La fuente trae día/mes/año hasta el 6 de septiembre de 2025 y mes/día/año desde el 7; se unificó a AAAA-MM-DD</t>
  </si>
  <si>
    <t xml:space="preserve">¿Cómo ha cambiado el número de incidentes con lesionados año a año?</t>
  </si>
  <si>
    <t xml:space="preserve">hora</t>
  </si>
  <si>
    <t xml:space="preserve">Hora</t>
  </si>
  <si>
    <t xml:space="preserve">Hora en que se reportó el incidente</t>
  </si>
  <si>
    <t xml:space="preserve">hora del día (HH:MM, 24 h)</t>
  </si>
  <si>
    <t xml:space="preserve">00:49</t>
  </si>
  <si>
    <t xml:space="preserve">00:00 a 23:59</t>
  </si>
  <si>
    <t xml:space="preserve">Venía en varios formatos (24 h, a. m./p. m., con «-05» al final, como fracción de día de Excel); se unificó a HH:MM y se descartaron los segundos</t>
  </si>
  <si>
    <t xml:space="preserve">¿A qué horas del día ocurren más incidentes con lesionados?</t>
  </si>
  <si>
    <t xml:space="preserve">direccion_reporte</t>
  </si>
  <si>
    <t xml:space="preserve">Dirección_Reporte</t>
  </si>
  <si>
    <t xml:space="preserve">Dirección, cruce o lugar (a veces la clínica) desde donde se reportó el incidente</t>
  </si>
  <si>
    <t xml:space="preserve">Carrera 94 Con Calle 4 C</t>
  </si>
  <si>
    <t xml:space="preserve">Texto libre; vacío en 2018–2020</t>
  </si>
  <si>
    <t xml:space="preserve">Sensible</t>
  </si>
  <si>
    <t xml:space="preserve">«.» de la fuente → vacío. En 15 textos la fuente traía datos de personas dentro de la dirección (nombre y documento de lesionados, un teléfono, placas de vehículos, número de agente); se borró esa parte y se dejó solo la dirección. Revisado por búsqueda de patrones, no fila por fila</t>
  </si>
  <si>
    <t xml:space="preserve">¿En qué cruces o vías se repiten más los incidentes con lesionados?</t>
  </si>
  <si>
    <t xml:space="preserve">tipo_incidente</t>
  </si>
  <si>
    <t xml:space="preserve">Tipo_Confirmado (segunda columna con ese nombre)</t>
  </si>
  <si>
    <t xml:space="preserve">Clase de incidente según la fuente</t>
  </si>
  <si>
    <t xml:space="preserve">Choque con Lesionados</t>
  </si>
  <si>
    <t xml:space="preserve">{Choque con Lesionados, Por Atropello, Por Volcamiento, Por Caida de Ocupante, CON HERIDOS, POSITIVO, NEGATIVO, …}</t>
  </si>
  <si>
    <t xml:space="preserve">Se renombró porque la fuente repite el nombre «Tipo_Confirmado» en dos columnas (la primera vale «Con lesionado» en todas las filas y se quitó); «.» → vacío. Las categorías cambian en 2024 y no se unificaron</t>
  </si>
  <si>
    <t xml:space="preserve">¿Qué clase de incidente (choque, atropello, volcamiento) deja más lesionados?</t>
  </si>
  <si>
    <t xml:space="preserve">automovil</t>
  </si>
  <si>
    <t xml:space="preserve">Automovil</t>
  </si>
  <si>
    <t xml:space="preserve">Vale 1 si el reporte marca un automóvil entre los actores del incidente</t>
  </si>
  <si>
    <t xml:space="preserve">1</t>
  </si>
  <si>
    <t xml:space="preserve">1 o vacío</t>
  </si>
  <si>
    <t xml:space="preserve">«.» de la fuente → vacío. Solo se llena desde 2021; antes de eso vacío significa «sin dato», no «no hubo»</t>
  </si>
  <si>
    <t xml:space="preserve">¿Qué actor vial aparece más en los incidentes con lesionados?</t>
  </si>
  <si>
    <t xml:space="preserve">moto</t>
  </si>
  <si>
    <t xml:space="preserve">Moto</t>
  </si>
  <si>
    <t xml:space="preserve">Vale 1 si el reporte marca una moto entre los actores del incidente</t>
  </si>
  <si>
    <t xml:space="preserve">ciclista</t>
  </si>
  <si>
    <t xml:space="preserve">Ciclista</t>
  </si>
  <si>
    <t xml:space="preserve">Vale 1 si el reporte marca un ciclista entre los actores del incidente</t>
  </si>
  <si>
    <t xml:space="preserve">¿Qué tan expuestos están ciclistas y peatones frente a carros y motos?</t>
  </si>
  <si>
    <t xml:space="preserve">peaton</t>
  </si>
  <si>
    <t xml:space="preserve">Peaton</t>
  </si>
  <si>
    <t xml:space="preserve">Vale 1 si el reporte marca un peatón entre los actores del incidente</t>
  </si>
  <si>
    <t xml:space="preserve">lago/ambiente/calidad_aire_ica.csv</t>
  </si>
  <si>
    <t xml:space="preserve">Día al que corresponde la medición de calidad del aire</t>
  </si>
  <si>
    <t xml:space="preserve">2010-01-01</t>
  </si>
  <si>
    <t xml:space="preserve">La fuente trae día y mes invertidos cuando el día es ≤ 12 (el 2 de enero aparece como 2010-02-01); se corrige y se deja en formato AAAA-MM-DD</t>
  </si>
  <si>
    <t xml:space="preserve">¿Cómo ha cambiado la calidad del aire a lo largo del tiempo?</t>
  </si>
  <si>
    <t xml:space="preserve">ERA - Obrero</t>
  </si>
  <si>
    <t xml:space="preserve">Índice de Calidad del Aire (ICA) de ese día en la estación ERA - Obrero</t>
  </si>
  <si>
    <t xml:space="preserve">índice ICA (0–500)</t>
  </si>
  <si>
    <t xml:space="preserve">61 (2020-09-30)</t>
  </si>
  <si>
    <t xml:space="preserve">0–500 o vacío</t>
  </si>
  <si>
    <t xml:space="preserve">Los textos "ND" y "NA" de la fuente se dejan vacíos</t>
  </si>
  <si>
    <t xml:space="preserve">¿Qué estación o zona de la ciudad registra peor calidad del aire?</t>
  </si>
  <si>
    <t xml:space="preserve">La Flora</t>
  </si>
  <si>
    <t xml:space="preserve">Índice de Calidad del Aire (ICA) de ese día en la estación La Flora</t>
  </si>
  <si>
    <t xml:space="preserve">Pance</t>
  </si>
  <si>
    <t xml:space="preserve">Índice de Calidad del Aire (ICA) de ese día en la estación Pance</t>
  </si>
  <si>
    <t xml:space="preserve">39 (2020-09-30)</t>
  </si>
  <si>
    <t xml:space="preserve">Univalle</t>
  </si>
  <si>
    <t xml:space="preserve">Índice de Calidad del Aire (ICA) de ese día en la estación Univalle</t>
  </si>
  <si>
    <t xml:space="preserve">58 (2020-09-30)</t>
  </si>
  <si>
    <t xml:space="preserve">Base Aerea</t>
  </si>
  <si>
    <t xml:space="preserve">Índice de Calidad del Aire (ICA) de ese día en la estación Base Aerea</t>
  </si>
  <si>
    <t xml:space="preserve">71 (2020-09-30)</t>
  </si>
  <si>
    <t xml:space="preserve">Compartir</t>
  </si>
  <si>
    <t xml:space="preserve">Índice de Calidad del Aire (ICA) de ese día en la estación Compartir</t>
  </si>
  <si>
    <t xml:space="preserve">69 (2020-09-30)</t>
  </si>
  <si>
    <t xml:space="preserve">La Ermita</t>
  </si>
  <si>
    <t xml:space="preserve">Índice de Calidad del Aire (ICA) de ese día en la estación La Ermita</t>
  </si>
  <si>
    <t xml:space="preserve">64 (2020-09-30)</t>
  </si>
  <si>
    <t xml:space="preserve">Cañaveralejo</t>
  </si>
  <si>
    <t xml:space="preserve">Cañav eralejo</t>
  </si>
  <si>
    <t xml:space="preserve">Índice de Calidad del Aire (ICA) de ese día en la estación Cañaveralejo</t>
  </si>
  <si>
    <t xml:space="preserve">38 (2020-09-30)</t>
  </si>
  <si>
    <t xml:space="preserve">Se corrigió el nombre, que en la fuente viene como "Cañav eralejo"; "ND" y "NA" → vacío</t>
  </si>
  <si>
    <t xml:space="preserve">Transitoria</t>
  </si>
  <si>
    <t xml:space="preserve">Índice de Calidad del Aire (ICA) de ese día en la estación Transitoria</t>
  </si>
  <si>
    <t xml:space="preserve">52 (2020-09-30)</t>
  </si>
  <si>
    <t xml:space="preserve">lago/educacion/programas_etdh.csv</t>
  </si>
  <si>
    <t xml:space="preserve">codigo_institucion</t>
  </si>
  <si>
    <t xml:space="preserve">Código con que la Secretaría de Educación identifica a la institución</t>
  </si>
  <si>
    <t xml:space="preserve">Código</t>
  </si>
  <si>
    <t xml:space="preserve">3271</t>
  </si>
  <si>
    <t xml:space="preserve">Número entero</t>
  </si>
  <si>
    <t xml:space="preserve">Ninguna</t>
  </si>
  <si>
    <t xml:space="preserve">¿Cuántas instituciones distintas ofrecen formación para el trabajo?</t>
  </si>
  <si>
    <t xml:space="preserve">nombre_institucion</t>
  </si>
  <si>
    <t xml:space="preserve">Nombre de la institución que ofrece el programa de educación para el trabajo</t>
  </si>
  <si>
    <t xml:space="preserve">aaa academia fast english usa</t>
  </si>
  <si>
    <t xml:space="preserve">Texto libre</t>
  </si>
  <si>
    <t xml:space="preserve">Ninguna; se deja como viene (todo en minúsculas)</t>
  </si>
  <si>
    <t xml:space="preserve">¿Qué instituciones ofrecen más programas de formación para el trabajo?</t>
  </si>
  <si>
    <t xml:space="preserve">codigo_programa</t>
  </si>
  <si>
    <t xml:space="preserve">Código del programa dentro del registro de la Secretaría de Educación</t>
  </si>
  <si>
    <t xml:space="preserve">6925</t>
  </si>
  <si>
    <t xml:space="preserve">¿Cuántos programas de formación para el trabajo hay registrados?</t>
  </si>
  <si>
    <t xml:space="preserve">nombre_programa</t>
  </si>
  <si>
    <t xml:space="preserve">Nombre del programa o curso ofertado</t>
  </si>
  <si>
    <t xml:space="preserve">avanzado nivel c2</t>
  </si>
  <si>
    <t xml:space="preserve">¿Qué tipo de formación (idiomas, oficios, etc.) predomina en la ciudad?</t>
  </si>
  <si>
    <t xml:space="preserve">tipo_certificado</t>
  </si>
  <si>
    <t xml:space="preserve">Tipo de certificado que recibe quien termina el programa</t>
  </si>
  <si>
    <t xml:space="preserve">técnico laboral</t>
  </si>
  <si>
    <t xml:space="preserve">{técnico laboral, conocimientos académicos, capacitación en conducción}</t>
  </si>
  <si>
    <t xml:space="preserve">¿Qué proporción de la oferta entrega cada tipo de certificado?</t>
  </si>
  <si>
    <t xml:space="preserve">jornada_1</t>
  </si>
  <si>
    <t xml:space="preserve">Primera jornada en que se dicta el programa</t>
  </si>
  <si>
    <t xml:space="preserve">diurna</t>
  </si>
  <si>
    <t xml:space="preserve">{diurna, nocturna, fin de semana, sin definir, N/A}</t>
  </si>
  <si>
    <t xml:space="preserve">Ninguna; cuando no hay jornada la fuente escribe «N/A» o «sin definir» y se dejó así</t>
  </si>
  <si>
    <t xml:space="preserve">¿La oferta de formación se adapta a quienes trabajan de día?</t>
  </si>
  <si>
    <t xml:space="preserve">jornada_2</t>
  </si>
  <si>
    <t xml:space="preserve">Segunda jornada en que se dicta el programa, si tiene</t>
  </si>
  <si>
    <t xml:space="preserve">nocturna</t>
  </si>
  <si>
    <t xml:space="preserve">jornada_3</t>
  </si>
  <si>
    <t xml:space="preserve">Tercera jornada en que se dicta el programa, si tiene</t>
  </si>
  <si>
    <t xml:space="preserve">fin de semana</t>
  </si>
  <si>
    <t xml:space="preserve">lago/demografia/poblacion_censada_historica.csv</t>
  </si>
  <si>
    <t xml:space="preserve">anio_censo</t>
  </si>
  <si>
    <t xml:space="preserve">Año</t>
  </si>
  <si>
    <t xml:space="preserve">Año en que se realizó el censo</t>
  </si>
  <si>
    <t xml:space="preserve">1964</t>
  </si>
  <si>
    <t xml:space="preserve">¿Cómo ha crecido la población de Cali a lo largo de la historia?</t>
  </si>
  <si>
    <t xml:space="preserve">mes</t>
  </si>
  <si>
    <t xml:space="preserve">Mes</t>
  </si>
  <si>
    <t xml:space="preserve">Mes en que se realizó el censo</t>
  </si>
  <si>
    <t xml:space="preserve">mes (1–12)</t>
  </si>
  <si>
    <t xml:space="preserve">7</t>
  </si>
  <si>
    <t xml:space="preserve">1–12</t>
  </si>
  <si>
    <t xml:space="preserve">¿Cuánto tiempo pasó entre un censo y el siguiente?</t>
  </si>
  <si>
    <t xml:space="preserve">poblacion_total</t>
  </si>
  <si>
    <t xml:space="preserve">Población total</t>
  </si>
  <si>
    <t xml:space="preserve">Número total de habitantes censados en el municipio ese año</t>
  </si>
  <si>
    <t xml:space="preserve">habitantes</t>
  </si>
  <si>
    <t xml:space="preserve">637929 (censo de 1964)</t>
  </si>
  <si>
    <t xml:space="preserve">La fuente escribe "637.929" con punto de miles; se dejó como número entero</t>
  </si>
  <si>
    <t xml:space="preserve">¿Cuál ha sido el ritmo de crecimiento poblacional de la ciudad?</t>
  </si>
  <si>
    <t xml:space="preserve">tasa_crecimiento_pct</t>
  </si>
  <si>
    <t xml:space="preserve">Tasa de crecimiento%</t>
  </si>
  <si>
    <t xml:space="preserve">Tasa de crecimiento de la población frente al censo anterior, según la fuente</t>
  </si>
  <si>
    <t xml:space="preserve">Decimal</t>
  </si>
  <si>
    <t xml:space="preserve">%</t>
  </si>
  <si>
    <t xml:space="preserve">6.13 (censo de 1964)</t>
  </si>
  <si>
    <t xml:space="preserve">El texto "ND" de la fuente se deja vacío</t>
  </si>
  <si>
    <t xml:space="preserve">¿En qué periodo creció más rápido la ciudad?</t>
  </si>
  <si>
    <t xml:space="preserve">poblacion_cabecera</t>
  </si>
  <si>
    <t xml:space="preserve">Población cabecera</t>
  </si>
  <si>
    <t xml:space="preserve">Habitantes censados en la cabecera urbana</t>
  </si>
  <si>
    <t xml:space="preserve">618215 (censo de 1964)</t>
  </si>
  <si>
    <t xml:space="preserve">Se quitó el punto de miles; "ND" → vacío</t>
  </si>
  <si>
    <t xml:space="preserve">¿Cuánta gente vive en la zona urbana de Cali?</t>
  </si>
  <si>
    <t xml:space="preserve">poblacion_cabecera_pct</t>
  </si>
  <si>
    <t xml:space="preserve">% Cabecera</t>
  </si>
  <si>
    <t xml:space="preserve">Porcentaje de la población que vive en la cabecera urbana</t>
  </si>
  <si>
    <t xml:space="preserve">96.9 (censo de 1964)</t>
  </si>
  <si>
    <t xml:space="preserve">0–100</t>
  </si>
  <si>
    <t xml:space="preserve">Se quitó el símbolo % (venía como texto "96.9%"); "ND" → vacío</t>
  </si>
  <si>
    <t xml:space="preserve">¿Qué tan urbana es Cali y cómo ha cambiado eso en el tiempo?</t>
  </si>
  <si>
    <t xml:space="preserve">poblacion_resto</t>
  </si>
  <si>
    <t xml:space="preserve">Población resto</t>
  </si>
  <si>
    <t xml:space="preserve">Habitantes censados fuera de la cabecera (zona rural, «resto»)</t>
  </si>
  <si>
    <t xml:space="preserve">19714 (censo de 1964)</t>
  </si>
  <si>
    <t xml:space="preserve">¿Cuánta gente vive en la zona rural del municipio?</t>
  </si>
  <si>
    <t xml:space="preserve">poblacion_resto_pct</t>
  </si>
  <si>
    <t xml:space="preserve">% Resto</t>
  </si>
  <si>
    <t xml:space="preserve">Porcentaje de la población que vive fuera de la cabecera</t>
  </si>
  <si>
    <t xml:space="preserve">3.1 (censo de 1964)</t>
  </si>
  <si>
    <t xml:space="preserve">Se quitó el símbolo %; "ND" → vacío</t>
  </si>
  <si>
    <t xml:space="preserve">3. Bitácora de la búsqueda con IA</t>
  </si>
  <si>
    <t xml:space="preserve">Qué le encargaron a la IA y qué pasó con lo que respondió. Incluyan los errores: valen tanto como los aciertos.</t>
  </si>
  <si>
    <t xml:space="preserve">#</t>
  </si>
  <si>
    <t xml:space="preserve">Herramienta de IA</t>
  </si>
  <si>
    <t xml:space="preserve">Qué le encargaron</t>
  </si>
  <si>
    <t xml:space="preserve">Qué respondió (resumen)</t>
  </si>
  <si>
    <t xml:space="preserve">Cómo lo comprobaron</t>
  </si>
  <si>
    <t xml:space="preserve">Resultado</t>
  </si>
  <si>
    <t xml:space="preserve">ID fuente que salió de ahí</t>
  </si>
  <si>
    <t xml:space="preserve">Qué aprendieron</t>
  </si>
  <si>
    <t xml:space="preserve">Claude</t>
  </si>
  <si>
    <t xml:space="preserve">Encontrar el portal oficial de datos abiertos de Cali para arrancar el rastreo</t>
  </si>
  <si>
    <t xml:space="preserve">Propuso datos.cali.gov.co (portal CKAN de la Alcaldía) y datos.gov.co (portal nacional)</t>
  </si>
  <si>
    <t xml:space="preserve">Abrimos datos.cali.gov.co directamente y con su API (/api/3/action/package_search); datos.gov.co no se pudo revisar a fondo porque su robots.txt bloqueó el acceso automático</t>
  </si>
  <si>
    <t xml:space="preserve">Parcial</t>
  </si>
  <si>
    <t xml:space="preserve">Que "proponer un portal" no es lo mismo que comprobar que cada dataset puntual responde; hay que probar cada fuente por separado.</t>
  </si>
  <si>
    <t xml:space="preserve">Buscar una fuente real sobre homicidios por comuna en Cali</t>
  </si>
  <si>
    <t xml:space="preserve">Encontró el dataset "Homicidio según tipo sexo por año y comuna 1993-2021" de la Secretaría de Seguridad y Justicia</t>
  </si>
  <si>
    <t xml:space="preserve">Se llamó al endpoint datastore_search de la API del portal y llegaron 25 filas reales con cifras (22 comunas, zona rural, «Sin Dato» y total) (ej. Comuna 1 = 987 casos acumulados)</t>
  </si>
  <si>
    <t xml:space="preserve">Correcto</t>
  </si>
  <si>
    <t xml:space="preserve">Que conviene usar la API de datos (datastore_search) en vez de confiar solo en el título del dataset.</t>
  </si>
  <si>
    <t xml:space="preserve">Replicar para Cali el mismo ejemplo de la fila gris (vistas de Wikipedia de Medellín)</t>
  </si>
  <si>
    <t xml:space="preserve">Propuso la misma URL de la API de Wikimedia, cambiando "Medellín" por "Cali"</t>
  </si>
  <si>
    <t xml:space="preserve">Se intentó abrir esa URL con la herramienta de verificación y respondió que el dominio "wikimedia.org" es de solo caché y no se pudo cargar hoy</t>
  </si>
  <si>
    <t xml:space="preserve">Incorrecto</t>
  </si>
  <si>
    <t xml:space="preserve">Que una fuente que funciona en teoría (o para otra ciudad) no queda automáticamente probada; si no respondió hoy, no se declara "integrada".</t>
  </si>
  <si>
    <t xml:space="preserve">Buscar datos abiertos en formato GTFS del sistema de transporte masivo MIO</t>
  </si>
  <si>
    <t xml:space="preserve">Aseguró que debía existir un feed GTFS público del MIO, como en otras ciudades colombianas</t>
  </si>
  <si>
    <t xml:space="preserve">Se buscó el enlace de descarga oficial y solo aparecieron noticias, un observatorio municipal y un repositorio de un tercero no oficial; ningún portal con descarga confirmada</t>
  </si>
  <si>
    <t xml:space="preserve">Inventado</t>
  </si>
  <si>
    <t xml:space="preserve">Que la IA puede dar por hecho que "debe existir" un dato abierto solo porque es común en otras ciudades; hay que exigir el enlace exacto y probarlo.</t>
  </si>
  <si>
    <t xml:space="preserve">Revisar si los datasets de "líderes sociales amenazados" y "trata de personas" traen datos que identifiquen a una persona</t>
  </si>
  <si>
    <t xml:space="preserve">Advirtió que, aunque el portal los declara públicos, cruzar nombre + barrio + fecha de la amenaza puede poner en riesgo a alguien</t>
  </si>
  <si>
    <t xml:space="preserve">Se leyó la ficha de metadatos (organización, licencia, descripción) sin abrir el archivo completo, por precaución</t>
  </si>
  <si>
    <t xml:space="preserve">F05, F06</t>
  </si>
  <si>
    <t xml:space="preserve">Que "público" en el portal no significa "seguro de publicar sin cambios"; ver pregunta 5 del documento.</t>
  </si>
  <si>
    <t xml:space="preserve">Conseguir la población actual de Cali para poder calcular tasas del sistema</t>
  </si>
  <si>
    <t xml:space="preserve">Encontró el dataset "Población total censada en Cali por área"</t>
  </si>
  <si>
    <t xml:space="preserve">Al revisar los registros reales con datastore_search, la serie llega solo hasta un censo antiguo (registros de 1912 a 2005), sin cifra reciente ni proyección</t>
  </si>
  <si>
    <t xml:space="preserve">Que hay que revisar el rango de fechas real de los datos y no solo el nombre del dataset; ver pregunta 6 del documento.</t>
  </si>
  <si>
    <t xml:space="preserve">Confirmar que las páginas de cada dataset y sus descargas directas abrían bien</t>
  </si>
  <si>
    <t xml:space="preserve">Indicó que debían abrir sin problema por tratarse de un portal público</t>
  </si>
  <si>
    <t xml:space="preserve">Al abrir la página del dataset y el CSV directo con la herramienta automática, varias veces devolvió error 403, mientras que la ruta /api/3/action/ del mismo portal sí respondió siempre</t>
  </si>
  <si>
    <t xml:space="preserve">F02, F05, F06, F07</t>
  </si>
  <si>
    <t xml:space="preserve">Que un portal puede bloquear herramientas automáticas en sus páginas normales aunque su API esté abierta; conviene probar ambas rutas antes de descartar una fuente.</t>
  </si>
  <si>
    <t xml:space="preserve">Volver a probar la fuente de calidad del aire (F03) antes de descargarla completa</t>
  </si>
  <si>
    <t xml:space="preserve">En la primera búsqueda la había descrito como una serie mensual de 2010 a 2020</t>
  </si>
  <si>
    <t xml:space="preserve">Se consultó la API pidiendo el total y los primeros y últimos registros ordenados por _id: son 3.926 registros, uno por día, del 2010-01-01 al 2020-09-30. Además, las fechas con día ≤ 12 vienen con día y mes invertidos (el registro 32, que es el 1 de febrero, dice 2010-01-02)</t>
  </si>
  <si>
    <t xml:space="preserve">Que tres filas de muestra pueden engañar: hay que mirar el total de registros y el último registro, no solo los primeros.</t>
  </si>
  <si>
    <t xml:space="preserve">Descargar los archivos completos con la URL de API anotada en la hoja de Fuentes</t>
  </si>
  <si>
    <t xml:space="preserve">Indicó que con esa misma URL se obtenía el archivo completo</t>
  </si>
  <si>
    <t xml:space="preserve">Se llamó a la URL tal cual y devolvió solo 100 registros con un enlace "next", aunque el total declarado era 2.427 (F04); al agregar "&amp;limit=5000" sí llegó hasta el registro 2.427</t>
  </si>
  <si>
    <t xml:space="preserve">F03, F04</t>
  </si>
  <si>
    <t xml:space="preserve">Que una API puede paginar sin avisar: hay que comparar las filas recibidas con el campo "total" antes de dar una descarga por completa.</t>
  </si>
  <si>
    <t xml:space="preserve">Averiguar qué campos traen F05 y F06 sin abrir los registros de las personas</t>
  </si>
  <si>
    <t xml:space="preserve">Consultó solo la lista de campos y los años: F06 tiene 134 registros (2020–2026) y F05 tiene 95 (2017–2026); una fila por persona, sin nombre, documento ni dirección, pero con sexo, etnia, comuna de residencia, sector social (F06) y edad, estado civil y nivel educativo (F05)</t>
  </si>
  <si>
    <t xml:space="preserve">Se llamó a datastore_search con limit=0, que devuelve los nombres de los campos y el total sin entregar ninguna fila</t>
  </si>
  <si>
    <t xml:space="preserve">Que quitar el nombre no basta: con pocas personas, la combinación de año, sexo, etnia y comuna puede señalar a una sola.</t>
  </si>
  <si>
    <t xml:space="preserve">Limpiar el archivo completo de incidentes con lesionados (F02), que descargamos a mano desde el navegador</t>
  </si>
  <si>
    <t xml:space="preserve">Por el título de la ficha lo había descrito como «conteos por zona». Al abrirlo encontró una fila por incidente (51.236), con cambios de estructura y de formato de fecha y hora según el año, y con datos de personas escritos dentro de la dirección en algunos reportes</t>
  </si>
  <si>
    <t xml:space="preserve">Se contaron las filas por año antes y después de limpiar (mismo total), se revisó que ninguna fecha quede a más de 6 días de sus filas vecinas en el archivo y se buscaron documentos, teléfonos, placas y nombres en el texto de las direcciones</t>
  </si>
  <si>
    <t xml:space="preserve">Que el título de un dataset no dice cómo viene por dentro, y que un dato abierto puede traer nombres y documentos escondidos en un campo de texto libre.</t>
  </si>
  <si>
    <t xml:space="preserve">Cargar el archivo completo de homicidios (F01) y comprobar sus sumas</t>
  </si>
  <si>
    <t xml:space="preserve">Al registrar la fuente la había dado por buena con una sola cifra de ejemplo (Comuna 1 = 987). Con el archivo completo encontró que 2019, 2020 y 2021 no son creíbles: el total de la ciudad pasa de 1.170 en 2018 a 15.647 en 2019</t>
  </si>
  <si>
    <t xml:space="preserve">Se comprobó que mujeres + hombres = total en todos los años y que las filas suman el total de la ciudad. En 2019–2021 las cifras de las comunas 2 a 22 son todas múltiplos exactos del número de su comuna (21 de 21; en 2017 y 2018, ninguna), y al dividirlas el total de las 22 comunas queda en 1.100, 1.046 y 1.208, parecido al de 2018 (1.141)</t>
  </si>
  <si>
    <t xml:space="preserve">Que una cifra de ejemplo que cuadra no prueba todo el archivo: hay que sumar y comparar año contra año antes de confiar en una serie.</t>
  </si>
  <si>
    <t xml:space="preserve">Resumen del lago</t>
  </si>
  <si>
    <t xml:space="preserve">Se calcula solo desde las otras hojas; no cuenta las filas de ejemplo (fila 4).</t>
  </si>
  <si>
    <t xml:space="preserve">Fuentes registradas</t>
  </si>
  <si>
    <t xml:space="preserve">  · integradas al lago</t>
  </si>
  <si>
    <t xml:space="preserve">  · candidatas</t>
  </si>
  <si>
    <t xml:space="preserve">  · que no responden</t>
  </si>
  <si>
    <t xml:space="preserve">  · que no existen (inventadas por la IA)</t>
  </si>
  <si>
    <t xml:space="preserve">  · descartadas</t>
  </si>
  <si>
    <t xml:space="preserve">Fuentes con licencia «no declara» o vacía</t>
  </si>
  <si>
    <t xml:space="preserve">Fuentes con personas identificables o texto libre</t>
  </si>
  <si>
    <t xml:space="preserve">Campos en el diccionario</t>
  </si>
  <si>
    <t xml:space="preserve">  · clasificados como sensibles o dato personal</t>
  </si>
  <si>
    <t xml:space="preserve">  · sin pregunta del sistema asociada</t>
  </si>
  <si>
    <t xml:space="preserve">Encargos a la IA registrados</t>
  </si>
  <si>
    <t xml:space="preserve">  · con respuesta incorrecta o inventada</t>
  </si>
  <si>
    <t xml:space="preserve">Porcentaje de aciertos plenos de la 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</si>
</sst>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sz val="9"/>
      <color rgb="FF555555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i val="true"/>
      <sz val="9"/>
      <color rgb="FF55555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9"/>
      <color rgb="FF666666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EDEDED"/>
      </patternFill>
    </fill>
    <fill>
      <patternFill patternType="solid">
        <fgColor rgb="FF1F1F1F"/>
        <bgColor rgb="FF333300"/>
      </patternFill>
    </fill>
    <fill>
      <patternFill patternType="solid">
        <fgColor rgb="FFEDEDED"/>
        <bgColor rgb="FFFFF7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18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3" customFormat="false" ht="15" hidden="false" customHeight="true" outlineLevel="0" collapsed="false">
      <c r="B3" s="4"/>
    </row>
    <row r="4" customFormat="false" ht="15.75" hidden="false" customHeight="true" outlineLevel="0" collapsed="false">
      <c r="B4" s="5" t="s">
        <v>2</v>
      </c>
    </row>
    <row r="5" customFormat="false" ht="15" hidden="false" customHeight="true" outlineLevel="0" collapsed="false">
      <c r="B5" s="6" t="s">
        <v>3</v>
      </c>
      <c r="C5" s="1" t="s">
        <v>4</v>
      </c>
    </row>
    <row r="6" customFormat="false" ht="15" hidden="false" customHeight="true" outlineLevel="0" collapsed="false">
      <c r="B6" s="6" t="s">
        <v>5</v>
      </c>
      <c r="C6" s="1" t="s">
        <v>6</v>
      </c>
    </row>
    <row r="7" customFormat="false" ht="15" hidden="false" customHeight="true" outlineLevel="0" collapsed="false">
      <c r="B7" s="6" t="s">
        <v>7</v>
      </c>
      <c r="C7" s="1" t="s">
        <v>8</v>
      </c>
    </row>
    <row r="8" customFormat="false" ht="15" hidden="false" customHeight="true" outlineLevel="0" collapsed="false">
      <c r="B8" s="4"/>
    </row>
    <row r="9" customFormat="false" ht="15.75" hidden="false" customHeight="true" outlineLevel="0" collapsed="false">
      <c r="B9" s="5" t="s">
        <v>9</v>
      </c>
    </row>
    <row r="10" customFormat="false" ht="28.5" hidden="false" customHeight="true" outlineLevel="0" collapsed="false">
      <c r="B10" s="4" t="s">
        <v>10</v>
      </c>
    </row>
    <row r="11" customFormat="false" ht="15" hidden="false" customHeight="true" outlineLevel="0" collapsed="false">
      <c r="B11" s="4" t="s">
        <v>11</v>
      </c>
    </row>
    <row r="12" customFormat="false" ht="15" hidden="false" customHeight="true" outlineLevel="0" collapsed="false">
      <c r="B12" s="4" t="s">
        <v>12</v>
      </c>
    </row>
    <row r="13" customFormat="false" ht="15" hidden="false" customHeight="true" outlineLevel="0" collapsed="false">
      <c r="B13" s="4" t="s">
        <v>13</v>
      </c>
    </row>
    <row r="14" customFormat="false" ht="15" hidden="false" customHeight="true" outlineLevel="0" collapsed="false">
      <c r="B14" s="4"/>
    </row>
    <row r="15" customFormat="false" ht="15.75" hidden="false" customHeight="true" outlineLevel="0" collapsed="false">
      <c r="B15" s="5" t="s">
        <v>14</v>
      </c>
    </row>
    <row r="16" customFormat="false" ht="28.5" hidden="false" customHeight="true" outlineLevel="0" collapsed="false">
      <c r="B16" s="4" t="s">
        <v>15</v>
      </c>
    </row>
    <row r="17" customFormat="false" ht="15" hidden="false" customHeight="true" outlineLevel="0" collapsed="false">
      <c r="B17" s="4" t="s">
        <v>16</v>
      </c>
    </row>
    <row r="18" customFormat="false" ht="15" hidden="false" customHeight="true" outlineLevel="0" collapsed="false">
      <c r="B18" s="4" t="s">
        <v>17</v>
      </c>
    </row>
    <row r="19" customFormat="false" ht="15" hidden="false" customHeight="true" outlineLevel="0" collapsed="false">
      <c r="B19" s="4" t="s">
        <v>18</v>
      </c>
    </row>
    <row r="20" customFormat="false" ht="15" hidden="false" customHeight="true" outlineLevel="0" collapsed="false">
      <c r="B20" s="4" t="s">
        <v>19</v>
      </c>
    </row>
    <row r="21" customFormat="false" ht="15" hidden="false" customHeight="true" outlineLevel="0" collapsed="false">
      <c r="B21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36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3" min="11" style="1" width="14"/>
    <col collapsed="false" customWidth="true" hidden="false" outlineLevel="0" max="14" min="14" style="1" width="20"/>
    <col collapsed="false" customWidth="true" hidden="false" outlineLevel="0" max="15" min="15" style="1" width="26"/>
    <col collapsed="false" customWidth="true" hidden="false" outlineLevel="0" max="16" min="16" style="1" width="32"/>
  </cols>
  <sheetData>
    <row r="1" customFormat="false" ht="18" hidden="false" customHeight="true" outlineLevel="0" collapsed="false">
      <c r="A1" s="7" t="s">
        <v>21</v>
      </c>
    </row>
    <row r="2" customFormat="false" ht="15" hidden="false" customHeight="true" outlineLevel="0" collapsed="false">
      <c r="A2" s="8" t="s">
        <v>22</v>
      </c>
    </row>
    <row r="3" customFormat="false" ht="42" hidden="false" customHeight="true" outlineLevel="0" collapsed="false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  <c r="O3" s="9" t="s">
        <v>37</v>
      </c>
      <c r="P3" s="9" t="s">
        <v>38</v>
      </c>
    </row>
    <row r="4" customFormat="false" ht="51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customFormat="false" ht="68.25" hidden="false" customHeight="true" outlineLevel="0" collapsed="false">
      <c r="A5" s="11" t="s">
        <v>39</v>
      </c>
      <c r="B5" s="11" t="s">
        <v>40</v>
      </c>
      <c r="C5" s="11" t="s">
        <v>41</v>
      </c>
      <c r="D5" s="11" t="s">
        <v>42</v>
      </c>
      <c r="E5" s="11" t="s">
        <v>43</v>
      </c>
      <c r="F5" s="11" t="s">
        <v>44</v>
      </c>
      <c r="G5" s="11" t="s">
        <v>45</v>
      </c>
      <c r="H5" s="11" t="s">
        <v>46</v>
      </c>
      <c r="I5" s="11" t="s">
        <v>47</v>
      </c>
      <c r="J5" s="11" t="s">
        <v>48</v>
      </c>
      <c r="K5" s="11" t="s">
        <v>49</v>
      </c>
      <c r="L5" s="11" t="s">
        <v>50</v>
      </c>
      <c r="M5" s="11" t="s">
        <v>51</v>
      </c>
      <c r="N5" s="11" t="s">
        <v>52</v>
      </c>
      <c r="O5" s="11" t="s">
        <v>53</v>
      </c>
      <c r="P5" s="11" t="s">
        <v>54</v>
      </c>
    </row>
    <row r="6" customFormat="false" ht="90.75" hidden="false" customHeight="true" outlineLevel="0" collapsed="false">
      <c r="A6" s="11" t="s">
        <v>55</v>
      </c>
      <c r="B6" s="11" t="s">
        <v>56</v>
      </c>
      <c r="C6" s="11" t="s">
        <v>57</v>
      </c>
      <c r="D6" s="11" t="s">
        <v>42</v>
      </c>
      <c r="E6" s="11" t="s">
        <v>58</v>
      </c>
      <c r="F6" s="11" t="s">
        <v>44</v>
      </c>
      <c r="G6" s="11" t="s">
        <v>59</v>
      </c>
      <c r="H6" s="11" t="s">
        <v>46</v>
      </c>
      <c r="I6" s="11" t="s">
        <v>60</v>
      </c>
      <c r="J6" s="11" t="s">
        <v>61</v>
      </c>
      <c r="K6" s="11" t="s">
        <v>62</v>
      </c>
      <c r="L6" s="11" t="s">
        <v>63</v>
      </c>
      <c r="M6" s="11" t="s">
        <v>51</v>
      </c>
      <c r="N6" s="11" t="s">
        <v>52</v>
      </c>
      <c r="O6" s="11" t="s">
        <v>64</v>
      </c>
      <c r="P6" s="11" t="s">
        <v>65</v>
      </c>
    </row>
    <row r="7" customFormat="false" ht="135.75" hidden="false" customHeight="true" outlineLevel="0" collapsed="false">
      <c r="A7" s="11" t="s">
        <v>66</v>
      </c>
      <c r="B7" s="11" t="s">
        <v>67</v>
      </c>
      <c r="C7" s="11" t="s">
        <v>68</v>
      </c>
      <c r="D7" s="11" t="s">
        <v>42</v>
      </c>
      <c r="E7" s="11" t="s">
        <v>69</v>
      </c>
      <c r="F7" s="11" t="s">
        <v>44</v>
      </c>
      <c r="G7" s="11" t="s">
        <v>45</v>
      </c>
      <c r="H7" s="11" t="s">
        <v>70</v>
      </c>
      <c r="I7" s="11" t="s">
        <v>47</v>
      </c>
      <c r="J7" s="11" t="s">
        <v>71</v>
      </c>
      <c r="K7" s="11" t="s">
        <v>72</v>
      </c>
      <c r="L7" s="11" t="s">
        <v>73</v>
      </c>
      <c r="M7" s="11" t="s">
        <v>51</v>
      </c>
      <c r="N7" s="11" t="s">
        <v>52</v>
      </c>
      <c r="O7" s="11" t="s">
        <v>74</v>
      </c>
      <c r="P7" s="11" t="s">
        <v>75</v>
      </c>
    </row>
    <row r="8" customFormat="false" ht="68.25" hidden="false" customHeight="true" outlineLevel="0" collapsed="false">
      <c r="A8" s="11" t="s">
        <v>76</v>
      </c>
      <c r="B8" s="11" t="s">
        <v>77</v>
      </c>
      <c r="C8" s="11" t="s">
        <v>78</v>
      </c>
      <c r="D8" s="11" t="s">
        <v>42</v>
      </c>
      <c r="E8" s="11" t="s">
        <v>79</v>
      </c>
      <c r="F8" s="11" t="s">
        <v>44</v>
      </c>
      <c r="G8" s="11" t="s">
        <v>45</v>
      </c>
      <c r="H8" s="11" t="s">
        <v>70</v>
      </c>
      <c r="I8" s="11" t="s">
        <v>47</v>
      </c>
      <c r="J8" s="11" t="s">
        <v>80</v>
      </c>
      <c r="K8" s="11" t="s">
        <v>81</v>
      </c>
      <c r="L8" s="11" t="s">
        <v>63</v>
      </c>
      <c r="M8" s="11" t="s">
        <v>51</v>
      </c>
      <c r="N8" s="11" t="s">
        <v>52</v>
      </c>
      <c r="O8" s="11" t="s">
        <v>82</v>
      </c>
      <c r="P8" s="11" t="s">
        <v>83</v>
      </c>
    </row>
    <row r="9" customFormat="false" ht="135.75" hidden="false" customHeight="true" outlineLevel="0" collapsed="false">
      <c r="A9" s="11" t="s">
        <v>84</v>
      </c>
      <c r="B9" s="11" t="s">
        <v>85</v>
      </c>
      <c r="C9" s="11" t="s">
        <v>86</v>
      </c>
      <c r="D9" s="11" t="s">
        <v>42</v>
      </c>
      <c r="E9" s="11" t="s">
        <v>87</v>
      </c>
      <c r="F9" s="11" t="s">
        <v>44</v>
      </c>
      <c r="G9" s="11" t="s">
        <v>59</v>
      </c>
      <c r="H9" s="11" t="s">
        <v>70</v>
      </c>
      <c r="I9" s="11" t="s">
        <v>60</v>
      </c>
      <c r="J9" s="11" t="s">
        <v>80</v>
      </c>
      <c r="K9" s="11" t="s">
        <v>88</v>
      </c>
      <c r="L9" s="11" t="s">
        <v>50</v>
      </c>
      <c r="M9" s="11" t="s">
        <v>51</v>
      </c>
      <c r="N9" s="11" t="s">
        <v>89</v>
      </c>
      <c r="O9" s="11" t="s">
        <v>90</v>
      </c>
      <c r="P9" s="11" t="s">
        <v>91</v>
      </c>
    </row>
    <row r="10" customFormat="false" ht="147" hidden="false" customHeight="true" outlineLevel="0" collapsed="false">
      <c r="A10" s="11" t="s">
        <v>92</v>
      </c>
      <c r="B10" s="11" t="s">
        <v>93</v>
      </c>
      <c r="C10" s="11" t="s">
        <v>86</v>
      </c>
      <c r="D10" s="11" t="s">
        <v>42</v>
      </c>
      <c r="E10" s="11" t="s">
        <v>94</v>
      </c>
      <c r="F10" s="11" t="s">
        <v>44</v>
      </c>
      <c r="G10" s="11" t="s">
        <v>59</v>
      </c>
      <c r="H10" s="11" t="s">
        <v>70</v>
      </c>
      <c r="I10" s="11" t="s">
        <v>60</v>
      </c>
      <c r="J10" s="11" t="s">
        <v>80</v>
      </c>
      <c r="K10" s="11" t="s">
        <v>95</v>
      </c>
      <c r="L10" s="11" t="s">
        <v>50</v>
      </c>
      <c r="M10" s="11" t="s">
        <v>51</v>
      </c>
      <c r="N10" s="11" t="s">
        <v>89</v>
      </c>
      <c r="O10" s="11" t="s">
        <v>96</v>
      </c>
      <c r="P10" s="11" t="s">
        <v>97</v>
      </c>
    </row>
    <row r="11" customFormat="false" ht="68.25" hidden="false" customHeight="true" outlineLevel="0" collapsed="false">
      <c r="A11" s="11" t="s">
        <v>98</v>
      </c>
      <c r="B11" s="11" t="s">
        <v>99</v>
      </c>
      <c r="C11" s="11" t="s">
        <v>100</v>
      </c>
      <c r="D11" s="11" t="s">
        <v>42</v>
      </c>
      <c r="E11" s="11" t="s">
        <v>101</v>
      </c>
      <c r="F11" s="11" t="s">
        <v>102</v>
      </c>
      <c r="G11" s="11" t="s">
        <v>59</v>
      </c>
      <c r="H11" s="11" t="s">
        <v>70</v>
      </c>
      <c r="I11" s="11" t="s">
        <v>47</v>
      </c>
      <c r="J11" s="11" t="s">
        <v>103</v>
      </c>
      <c r="K11" s="11" t="s">
        <v>104</v>
      </c>
      <c r="L11" s="11" t="s">
        <v>50</v>
      </c>
      <c r="M11" s="11" t="s">
        <v>105</v>
      </c>
      <c r="N11" s="11" t="s">
        <v>106</v>
      </c>
      <c r="O11" s="11" t="s">
        <v>107</v>
      </c>
      <c r="P11" s="11" t="s">
        <v>108</v>
      </c>
    </row>
    <row r="12" customFormat="false" ht="79.5" hidden="false" customHeight="true" outlineLevel="0" collapsed="false">
      <c r="A12" s="11" t="s">
        <v>109</v>
      </c>
      <c r="B12" s="11" t="s">
        <v>110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1" t="s">
        <v>45</v>
      </c>
      <c r="H12" s="11" t="s">
        <v>115</v>
      </c>
      <c r="I12" s="11" t="s">
        <v>47</v>
      </c>
      <c r="J12" s="11" t="s">
        <v>116</v>
      </c>
      <c r="K12" s="11" t="s">
        <v>117</v>
      </c>
      <c r="L12" s="11" t="s">
        <v>73</v>
      </c>
      <c r="M12" s="11"/>
      <c r="N12" s="11" t="s">
        <v>118</v>
      </c>
      <c r="O12" s="11" t="s">
        <v>119</v>
      </c>
      <c r="P12" s="11" t="s">
        <v>120</v>
      </c>
    </row>
    <row r="13" customFormat="false" ht="68.25" hidden="false" customHeight="true" outlineLevel="0" collapsed="false">
      <c r="A13" s="11" t="s">
        <v>121</v>
      </c>
      <c r="B13" s="11" t="s">
        <v>122</v>
      </c>
      <c r="C13" s="11" t="s">
        <v>123</v>
      </c>
      <c r="D13" s="11" t="s">
        <v>42</v>
      </c>
      <c r="E13" s="11" t="s">
        <v>124</v>
      </c>
      <c r="F13" s="11" t="s">
        <v>44</v>
      </c>
      <c r="G13" s="11" t="s">
        <v>45</v>
      </c>
      <c r="H13" s="11" t="s">
        <v>46</v>
      </c>
      <c r="I13" s="11" t="s">
        <v>47</v>
      </c>
      <c r="J13" s="11" t="s">
        <v>125</v>
      </c>
      <c r="K13" s="11" t="s">
        <v>126</v>
      </c>
      <c r="L13" s="11" t="s">
        <v>127</v>
      </c>
      <c r="M13" s="11" t="s">
        <v>51</v>
      </c>
      <c r="N13" s="11" t="s">
        <v>52</v>
      </c>
      <c r="O13" s="11" t="s">
        <v>128</v>
      </c>
      <c r="P13" s="11" t="s">
        <v>129</v>
      </c>
    </row>
    <row r="14" customFormat="false" ht="79.5" hidden="false" customHeight="true" outlineLevel="0" collapsed="false">
      <c r="A14" s="11" t="s">
        <v>130</v>
      </c>
      <c r="B14" s="11" t="s">
        <v>131</v>
      </c>
      <c r="C14" s="11" t="s">
        <v>132</v>
      </c>
      <c r="D14" s="11" t="s">
        <v>42</v>
      </c>
      <c r="E14" s="11" t="s">
        <v>133</v>
      </c>
      <c r="F14" s="11" t="s">
        <v>134</v>
      </c>
      <c r="G14" s="11" t="s">
        <v>135</v>
      </c>
      <c r="H14" s="11" t="s">
        <v>136</v>
      </c>
      <c r="I14" s="11" t="s">
        <v>47</v>
      </c>
      <c r="J14" s="11" t="s">
        <v>80</v>
      </c>
      <c r="K14" s="11" t="s">
        <v>50</v>
      </c>
      <c r="L14" s="11" t="s">
        <v>50</v>
      </c>
      <c r="M14" s="11"/>
      <c r="N14" s="11" t="s">
        <v>89</v>
      </c>
      <c r="O14" s="11" t="s">
        <v>137</v>
      </c>
      <c r="P14" s="11" t="s">
        <v>138</v>
      </c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</sheetData>
  <dataValidations count="6">
    <dataValidation allowBlank="true" error="Elijan una opción de la lista" errorStyle="stop" operator="between" showDropDown="false" showErrorMessage="false" showInputMessage="false" sqref="D5:D44" type="list">
      <formula1>"Entidad pública,Academia u ONG,Plataforma colaborativa,Empresa privada,Medio de comunicación,No se sabe"</formula1>
      <formula2>0</formula2>
    </dataValidation>
    <dataValidation allowBlank="true" error="Elijan una opción de la lista" errorStyle="stop" operator="between" showDropDown="false" showErrorMessage="false" showInputMessage="false" sqref="F5:F44" type="list">
      <formula1>"CSV,JSON,XLSX,Parquet,GeoJSON,Shapefile,PDF,Página web,Otro"</formula1>
      <formula2>0</formula2>
    </dataValidation>
    <dataValidation allowBlank="true" error="Elijan una opción de la lista" errorStyle="stop" operator="between" showDropDown="false" showErrorMessage="false" showInputMessage="false" sqref="G5:G44" type="list">
      <formula1>"API sin llave,API con llave gratuita,Descarga directa,Solo PDF o página,Bloquea scripts o pide sesión"</formula1>
      <formula2>0</formula2>
    </dataValidation>
    <dataValidation allowBlank="true" error="Elijan una opción de la lista" errorStyle="stop" operator="between" showDropDown="false" showErrorMessage="false" showInputMessage="false" sqref="I5:I44" type="list">
      <formula1>"No,Solo conteos por zona,Personas identificables,Texto libre sin revisar"</formula1>
      <formula2>0</formula2>
    </dataValidation>
    <dataValidation allowBlank="true" error="Elijan una opción de la lista" errorStyle="stop" operator="between" showDropDown="false" showErrorMessage="false" showInputMessage="false" sqref="L5:L44" type="list">
      <formula1>"Tiempo real,Diaria,Mensual,Trimestral,Anual,Única vez,No se sabe"</formula1>
      <formula2>0</formula2>
    </dataValidation>
    <dataValidation allowBlank="true" error="Elijan una opción de la lista" errorStyle="stop" operator="between" showDropDown="false" showErrorMessage="false" showInputMessage="false" sqref="N5:N44" type="list">
      <formula1>"Integrada al lago,Candidata,No responde,No existe (la inventó la IA),Descartada"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3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22"/>
    <col collapsed="false" customWidth="true" hidden="false" outlineLevel="0" max="11" min="11" style="1" width="16"/>
    <col collapsed="false" customWidth="true" hidden="false" outlineLevel="0" max="12" min="12" style="1" width="28"/>
    <col collapsed="false" customWidth="true" hidden="false" outlineLevel="0" max="13" min="13" style="1" width="32"/>
  </cols>
  <sheetData>
    <row r="1" customFormat="false" ht="18" hidden="false" customHeight="true" outlineLevel="0" collapsed="false">
      <c r="A1" s="7" t="s">
        <v>139</v>
      </c>
    </row>
    <row r="2" customFormat="false" ht="15" hidden="false" customHeight="true" outlineLevel="0" collapsed="false">
      <c r="A2" s="8" t="s">
        <v>140</v>
      </c>
    </row>
    <row r="3" customFormat="false" ht="42" hidden="false" customHeight="true" outlineLevel="0" collapsed="false">
      <c r="A3" s="9" t="s">
        <v>23</v>
      </c>
      <c r="B3" s="9" t="s">
        <v>141</v>
      </c>
      <c r="C3" s="9" t="s">
        <v>142</v>
      </c>
      <c r="D3" s="9" t="s">
        <v>143</v>
      </c>
      <c r="E3" s="9" t="s">
        <v>144</v>
      </c>
      <c r="F3" s="9" t="s">
        <v>145</v>
      </c>
      <c r="G3" s="9" t="s">
        <v>146</v>
      </c>
      <c r="H3" s="9" t="s">
        <v>147</v>
      </c>
      <c r="I3" s="9" t="s">
        <v>148</v>
      </c>
      <c r="J3" s="9" t="s">
        <v>149</v>
      </c>
      <c r="K3" s="9" t="s">
        <v>150</v>
      </c>
      <c r="L3" s="9" t="s">
        <v>151</v>
      </c>
      <c r="M3" s="9" t="s">
        <v>152</v>
      </c>
    </row>
    <row r="4" customFormat="false" ht="39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Format="false" ht="34.5" hidden="false" customHeight="true" outlineLevel="0" collapsed="false">
      <c r="A5" s="11" t="s">
        <v>39</v>
      </c>
      <c r="B5" s="11" t="s">
        <v>153</v>
      </c>
      <c r="C5" s="11" t="s">
        <v>154</v>
      </c>
      <c r="D5" s="11" t="s">
        <v>155</v>
      </c>
      <c r="E5" s="11" t="s">
        <v>156</v>
      </c>
      <c r="F5" s="11" t="s">
        <v>157</v>
      </c>
      <c r="G5" s="11" t="s">
        <v>158</v>
      </c>
      <c r="H5" s="11" t="s">
        <v>159</v>
      </c>
      <c r="I5" s="11" t="s">
        <v>47</v>
      </c>
      <c r="J5" s="11" t="s">
        <v>160</v>
      </c>
      <c r="K5" s="11" t="s">
        <v>161</v>
      </c>
      <c r="L5" s="11" t="s">
        <v>162</v>
      </c>
      <c r="M5" s="11" t="s">
        <v>163</v>
      </c>
    </row>
    <row r="6" customFormat="false" ht="34.5" hidden="false" customHeight="true" outlineLevel="0" collapsed="false">
      <c r="A6" s="11" t="s">
        <v>39</v>
      </c>
      <c r="B6" s="11" t="s">
        <v>153</v>
      </c>
      <c r="C6" s="11" t="s">
        <v>164</v>
      </c>
      <c r="D6" s="11" t="s">
        <v>165</v>
      </c>
      <c r="E6" s="11" t="s">
        <v>166</v>
      </c>
      <c r="F6" s="11" t="s">
        <v>167</v>
      </c>
      <c r="G6" s="11" t="s">
        <v>168</v>
      </c>
      <c r="H6" s="11" t="s">
        <v>169</v>
      </c>
      <c r="I6" s="11" t="s">
        <v>47</v>
      </c>
      <c r="J6" s="11" t="s">
        <v>49</v>
      </c>
      <c r="K6" s="11" t="s">
        <v>161</v>
      </c>
      <c r="L6" s="11" t="s">
        <v>170</v>
      </c>
      <c r="M6" s="11" t="s">
        <v>171</v>
      </c>
    </row>
    <row r="7" customFormat="false" ht="45.75" hidden="false" customHeight="true" outlineLevel="0" collapsed="false">
      <c r="A7" s="11" t="s">
        <v>39</v>
      </c>
      <c r="B7" s="11" t="s">
        <v>153</v>
      </c>
      <c r="C7" s="11" t="s">
        <v>172</v>
      </c>
      <c r="D7" s="11" t="s">
        <v>173</v>
      </c>
      <c r="E7" s="11" t="s">
        <v>174</v>
      </c>
      <c r="F7" s="11" t="s">
        <v>157</v>
      </c>
      <c r="G7" s="11" t="s">
        <v>158</v>
      </c>
      <c r="H7" s="11" t="s">
        <v>175</v>
      </c>
      <c r="I7" s="11" t="s">
        <v>47</v>
      </c>
      <c r="J7" s="11" t="s">
        <v>176</v>
      </c>
      <c r="K7" s="11" t="s">
        <v>161</v>
      </c>
      <c r="L7" s="11" t="s">
        <v>177</v>
      </c>
      <c r="M7" s="11" t="s">
        <v>178</v>
      </c>
    </row>
    <row r="8" customFormat="false" ht="57" hidden="false" customHeight="true" outlineLevel="0" collapsed="false">
      <c r="A8" s="11" t="s">
        <v>39</v>
      </c>
      <c r="B8" s="11" t="s">
        <v>153</v>
      </c>
      <c r="C8" s="11" t="s">
        <v>179</v>
      </c>
      <c r="D8" s="11" t="s">
        <v>180</v>
      </c>
      <c r="E8" s="11" t="s">
        <v>181</v>
      </c>
      <c r="F8" s="11" t="s">
        <v>167</v>
      </c>
      <c r="G8" s="11" t="s">
        <v>182</v>
      </c>
      <c r="H8" s="11" t="s">
        <v>183</v>
      </c>
      <c r="I8" s="11" t="s">
        <v>184</v>
      </c>
      <c r="J8" s="11" t="s">
        <v>185</v>
      </c>
      <c r="K8" s="11" t="s">
        <v>161</v>
      </c>
      <c r="L8" s="11" t="s">
        <v>186</v>
      </c>
      <c r="M8" s="11" t="s">
        <v>163</v>
      </c>
    </row>
    <row r="9" customFormat="false" ht="45.75" hidden="false" customHeight="true" outlineLevel="0" collapsed="false">
      <c r="A9" s="11" t="s">
        <v>39</v>
      </c>
      <c r="B9" s="11" t="s">
        <v>153</v>
      </c>
      <c r="C9" s="11" t="s">
        <v>187</v>
      </c>
      <c r="D9" s="11" t="s">
        <v>188</v>
      </c>
      <c r="E9" s="11" t="s">
        <v>189</v>
      </c>
      <c r="F9" s="11" t="s">
        <v>190</v>
      </c>
      <c r="G9" s="11" t="s">
        <v>158</v>
      </c>
      <c r="H9" s="11" t="s">
        <v>191</v>
      </c>
      <c r="I9" s="11" t="s">
        <v>47</v>
      </c>
      <c r="J9" s="11" t="s">
        <v>192</v>
      </c>
      <c r="K9" s="11" t="s">
        <v>161</v>
      </c>
      <c r="L9" s="11" t="s">
        <v>193</v>
      </c>
      <c r="M9" s="11" t="s">
        <v>194</v>
      </c>
    </row>
    <row r="10" customFormat="false" ht="34.5" hidden="false" customHeight="true" outlineLevel="0" collapsed="false">
      <c r="A10" s="11" t="s">
        <v>55</v>
      </c>
      <c r="B10" s="11" t="s">
        <v>195</v>
      </c>
      <c r="C10" s="11" t="s">
        <v>196</v>
      </c>
      <c r="D10" s="11" t="s">
        <v>197</v>
      </c>
      <c r="E10" s="11" t="s">
        <v>198</v>
      </c>
      <c r="F10" s="11" t="s">
        <v>197</v>
      </c>
      <c r="G10" s="11" t="s">
        <v>158</v>
      </c>
      <c r="H10" s="11" t="s">
        <v>199</v>
      </c>
      <c r="I10" s="11" t="s">
        <v>47</v>
      </c>
      <c r="J10" s="11" t="s">
        <v>62</v>
      </c>
      <c r="K10" s="11" t="s">
        <v>161</v>
      </c>
      <c r="L10" s="11" t="s">
        <v>200</v>
      </c>
      <c r="M10" s="11" t="s">
        <v>201</v>
      </c>
    </row>
    <row r="11" customFormat="false" ht="23.25" hidden="false" customHeight="true" outlineLevel="0" collapsed="false">
      <c r="A11" s="11" t="s">
        <v>55</v>
      </c>
      <c r="B11" s="11" t="s">
        <v>195</v>
      </c>
      <c r="C11" s="11" t="s">
        <v>202</v>
      </c>
      <c r="D11" s="11" t="s">
        <v>203</v>
      </c>
      <c r="E11" s="11" t="s">
        <v>204</v>
      </c>
      <c r="F11" s="11" t="s">
        <v>157</v>
      </c>
      <c r="G11" s="11" t="s">
        <v>205</v>
      </c>
      <c r="H11" s="11" t="s">
        <v>206</v>
      </c>
      <c r="I11" s="11" t="s">
        <v>47</v>
      </c>
      <c r="J11" s="11" t="s">
        <v>207</v>
      </c>
      <c r="K11" s="11" t="s">
        <v>161</v>
      </c>
      <c r="L11" s="11" t="s">
        <v>208</v>
      </c>
      <c r="M11" s="11" t="s">
        <v>209</v>
      </c>
    </row>
    <row r="12" customFormat="false" ht="23.25" hidden="false" customHeight="true" outlineLevel="0" collapsed="false">
      <c r="A12" s="11" t="s">
        <v>55</v>
      </c>
      <c r="B12" s="11" t="s">
        <v>195</v>
      </c>
      <c r="C12" s="11" t="s">
        <v>210</v>
      </c>
      <c r="D12" s="11" t="s">
        <v>211</v>
      </c>
      <c r="E12" s="11" t="s">
        <v>212</v>
      </c>
      <c r="F12" s="11" t="s">
        <v>157</v>
      </c>
      <c r="G12" s="11" t="s">
        <v>158</v>
      </c>
      <c r="H12" s="11" t="s">
        <v>213</v>
      </c>
      <c r="I12" s="11" t="s">
        <v>184</v>
      </c>
      <c r="J12" s="11" t="s">
        <v>214</v>
      </c>
      <c r="K12" s="11" t="s">
        <v>215</v>
      </c>
      <c r="L12" s="11" t="s">
        <v>216</v>
      </c>
      <c r="M12" s="11" t="s">
        <v>217</v>
      </c>
    </row>
    <row r="13" customFormat="false" ht="34.5" hidden="false" customHeight="true" outlineLevel="0" collapsed="false">
      <c r="A13" s="11" t="s">
        <v>55</v>
      </c>
      <c r="B13" s="11" t="s">
        <v>195</v>
      </c>
      <c r="C13" s="11" t="s">
        <v>218</v>
      </c>
      <c r="D13" s="11" t="s">
        <v>219</v>
      </c>
      <c r="E13" s="11" t="s">
        <v>220</v>
      </c>
      <c r="F13" s="11" t="s">
        <v>157</v>
      </c>
      <c r="G13" s="11" t="s">
        <v>158</v>
      </c>
      <c r="H13" s="11" t="s">
        <v>221</v>
      </c>
      <c r="I13" s="11" t="s">
        <v>184</v>
      </c>
      <c r="J13" s="11" t="s">
        <v>222</v>
      </c>
      <c r="K13" s="11" t="s">
        <v>161</v>
      </c>
      <c r="L13" s="11" t="s">
        <v>223</v>
      </c>
      <c r="M13" s="11" t="s">
        <v>224</v>
      </c>
    </row>
    <row r="14" customFormat="false" ht="34.5" hidden="false" customHeight="true" outlineLevel="0" collapsed="false">
      <c r="A14" s="11" t="s">
        <v>55</v>
      </c>
      <c r="B14" s="11" t="s">
        <v>195</v>
      </c>
      <c r="C14" s="11" t="s">
        <v>225</v>
      </c>
      <c r="D14" s="11" t="s">
        <v>226</v>
      </c>
      <c r="E14" s="11" t="s">
        <v>227</v>
      </c>
      <c r="F14" s="11" t="s">
        <v>190</v>
      </c>
      <c r="G14" s="11" t="s">
        <v>158</v>
      </c>
      <c r="H14" s="11" t="s">
        <v>228</v>
      </c>
      <c r="I14" s="11" t="s">
        <v>184</v>
      </c>
      <c r="J14" s="11" t="s">
        <v>229</v>
      </c>
      <c r="K14" s="11" t="s">
        <v>161</v>
      </c>
      <c r="L14" s="11" t="s">
        <v>230</v>
      </c>
      <c r="M14" s="11" t="s">
        <v>231</v>
      </c>
    </row>
    <row r="15" customFormat="false" ht="34.5" hidden="false" customHeight="true" outlineLevel="0" collapsed="false">
      <c r="A15" s="11" t="s">
        <v>55</v>
      </c>
      <c r="B15" s="11" t="s">
        <v>195</v>
      </c>
      <c r="C15" s="11" t="s">
        <v>232</v>
      </c>
      <c r="D15" s="11" t="s">
        <v>233</v>
      </c>
      <c r="E15" s="11" t="s">
        <v>234</v>
      </c>
      <c r="F15" s="11" t="s">
        <v>190</v>
      </c>
      <c r="G15" s="11" t="s">
        <v>158</v>
      </c>
      <c r="H15" s="11" t="s">
        <v>228</v>
      </c>
      <c r="I15" s="11" t="s">
        <v>184</v>
      </c>
      <c r="J15" s="11" t="s">
        <v>229</v>
      </c>
      <c r="K15" s="11" t="s">
        <v>161</v>
      </c>
      <c r="L15" s="11" t="s">
        <v>230</v>
      </c>
      <c r="M15" s="11" t="s">
        <v>231</v>
      </c>
    </row>
    <row r="16" customFormat="false" ht="15" hidden="false" customHeight="true" outlineLevel="0" collapsed="false">
      <c r="A16" s="11" t="s">
        <v>55</v>
      </c>
      <c r="B16" s="11" t="s">
        <v>195</v>
      </c>
      <c r="C16" s="11" t="s">
        <v>235</v>
      </c>
      <c r="D16" s="11" t="s">
        <v>236</v>
      </c>
      <c r="E16" s="11" t="s">
        <v>237</v>
      </c>
      <c r="F16" s="11" t="s">
        <v>190</v>
      </c>
      <c r="G16" s="11" t="s">
        <v>158</v>
      </c>
      <c r="H16" s="11" t="s">
        <v>228</v>
      </c>
      <c r="I16" s="11" t="s">
        <v>184</v>
      </c>
      <c r="J16" s="11" t="s">
        <v>229</v>
      </c>
      <c r="K16" s="11" t="s">
        <v>161</v>
      </c>
      <c r="L16" s="11" t="s">
        <v>230</v>
      </c>
      <c r="M16" s="11" t="s">
        <v>238</v>
      </c>
    </row>
    <row r="17" customFormat="false" ht="15" hidden="false" customHeight="true" outlineLevel="0" collapsed="false">
      <c r="A17" s="11" t="s">
        <v>55</v>
      </c>
      <c r="B17" s="11" t="s">
        <v>195</v>
      </c>
      <c r="C17" s="11" t="s">
        <v>239</v>
      </c>
      <c r="D17" s="11" t="s">
        <v>240</v>
      </c>
      <c r="E17" s="11" t="s">
        <v>241</v>
      </c>
      <c r="F17" s="11" t="s">
        <v>190</v>
      </c>
      <c r="G17" s="11" t="s">
        <v>158</v>
      </c>
      <c r="H17" s="11" t="s">
        <v>228</v>
      </c>
      <c r="I17" s="11" t="s">
        <v>184</v>
      </c>
      <c r="J17" s="11" t="s">
        <v>229</v>
      </c>
      <c r="K17" s="11" t="s">
        <v>161</v>
      </c>
      <c r="L17" s="11" t="s">
        <v>230</v>
      </c>
      <c r="M17" s="11" t="s">
        <v>238</v>
      </c>
    </row>
    <row r="18" customFormat="false" ht="15" hidden="false" customHeight="true" outlineLevel="0" collapsed="false">
      <c r="A18" s="11" t="s">
        <v>66</v>
      </c>
      <c r="B18" s="11" t="s">
        <v>242</v>
      </c>
      <c r="C18" s="11" t="s">
        <v>196</v>
      </c>
      <c r="D18" s="11" t="s">
        <v>197</v>
      </c>
      <c r="E18" s="11" t="s">
        <v>243</v>
      </c>
      <c r="F18" s="11" t="s">
        <v>197</v>
      </c>
      <c r="G18" s="11" t="s">
        <v>158</v>
      </c>
      <c r="H18" s="11" t="s">
        <v>244</v>
      </c>
      <c r="I18" s="11" t="s">
        <v>47</v>
      </c>
      <c r="J18" s="11" t="s">
        <v>72</v>
      </c>
      <c r="K18" s="11" t="s">
        <v>161</v>
      </c>
      <c r="L18" s="11" t="s">
        <v>245</v>
      </c>
      <c r="M18" s="11" t="s">
        <v>246</v>
      </c>
    </row>
    <row r="19" customFormat="false" ht="15" hidden="false" customHeight="true" outlineLevel="0" collapsed="false">
      <c r="A19" s="11" t="s">
        <v>66</v>
      </c>
      <c r="B19" s="11" t="s">
        <v>242</v>
      </c>
      <c r="C19" s="11" t="s">
        <v>247</v>
      </c>
      <c r="D19" s="11" t="s">
        <v>247</v>
      </c>
      <c r="E19" s="11" t="s">
        <v>248</v>
      </c>
      <c r="F19" s="11" t="s">
        <v>167</v>
      </c>
      <c r="G19" s="11" t="s">
        <v>249</v>
      </c>
      <c r="H19" s="11" t="s">
        <v>250</v>
      </c>
      <c r="I19" s="11" t="s">
        <v>184</v>
      </c>
      <c r="J19" s="11" t="s">
        <v>251</v>
      </c>
      <c r="K19" s="11" t="s">
        <v>161</v>
      </c>
      <c r="L19" s="11" t="s">
        <v>252</v>
      </c>
      <c r="M19" s="11" t="s">
        <v>253</v>
      </c>
    </row>
    <row r="20" customFormat="false" ht="15" hidden="false" customHeight="true" outlineLevel="0" collapsed="false">
      <c r="A20" s="11" t="s">
        <v>66</v>
      </c>
      <c r="B20" s="11" t="s">
        <v>242</v>
      </c>
      <c r="C20" s="11" t="s">
        <v>254</v>
      </c>
      <c r="D20" s="11" t="s">
        <v>254</v>
      </c>
      <c r="E20" s="11" t="s">
        <v>255</v>
      </c>
      <c r="F20" s="11" t="s">
        <v>167</v>
      </c>
      <c r="G20" s="11" t="s">
        <v>249</v>
      </c>
      <c r="H20" s="11" t="s">
        <v>250</v>
      </c>
      <c r="I20" s="11" t="s">
        <v>184</v>
      </c>
      <c r="J20" s="11" t="s">
        <v>251</v>
      </c>
      <c r="K20" s="11" t="s">
        <v>161</v>
      </c>
      <c r="L20" s="11" t="s">
        <v>252</v>
      </c>
      <c r="M20" s="11" t="s">
        <v>253</v>
      </c>
    </row>
    <row r="21" customFormat="false" ht="15" hidden="false" customHeight="true" outlineLevel="0" collapsed="false">
      <c r="A21" s="11" t="s">
        <v>66</v>
      </c>
      <c r="B21" s="11" t="s">
        <v>242</v>
      </c>
      <c r="C21" s="11" t="s">
        <v>256</v>
      </c>
      <c r="D21" s="11" t="s">
        <v>256</v>
      </c>
      <c r="E21" s="11" t="s">
        <v>257</v>
      </c>
      <c r="F21" s="11" t="s">
        <v>167</v>
      </c>
      <c r="G21" s="11" t="s">
        <v>249</v>
      </c>
      <c r="H21" s="11" t="s">
        <v>258</v>
      </c>
      <c r="I21" s="11" t="s">
        <v>184</v>
      </c>
      <c r="J21" s="11" t="s">
        <v>251</v>
      </c>
      <c r="K21" s="11" t="s">
        <v>161</v>
      </c>
      <c r="L21" s="11" t="s">
        <v>252</v>
      </c>
      <c r="M21" s="11" t="s">
        <v>253</v>
      </c>
    </row>
    <row r="22" customFormat="false" ht="15" hidden="false" customHeight="true" outlineLevel="0" collapsed="false">
      <c r="A22" s="11" t="s">
        <v>66</v>
      </c>
      <c r="B22" s="11" t="s">
        <v>242</v>
      </c>
      <c r="C22" s="11" t="s">
        <v>259</v>
      </c>
      <c r="D22" s="11" t="s">
        <v>259</v>
      </c>
      <c r="E22" s="11" t="s">
        <v>260</v>
      </c>
      <c r="F22" s="11" t="s">
        <v>167</v>
      </c>
      <c r="G22" s="11" t="s">
        <v>249</v>
      </c>
      <c r="H22" s="11" t="s">
        <v>261</v>
      </c>
      <c r="I22" s="11" t="s">
        <v>184</v>
      </c>
      <c r="J22" s="11" t="s">
        <v>251</v>
      </c>
      <c r="K22" s="11" t="s">
        <v>161</v>
      </c>
      <c r="L22" s="11" t="s">
        <v>252</v>
      </c>
      <c r="M22" s="11" t="s">
        <v>253</v>
      </c>
    </row>
    <row r="23" customFormat="false" ht="15" hidden="false" customHeight="true" outlineLevel="0" collapsed="false">
      <c r="A23" s="11" t="s">
        <v>66</v>
      </c>
      <c r="B23" s="11" t="s">
        <v>242</v>
      </c>
      <c r="C23" s="11" t="s">
        <v>262</v>
      </c>
      <c r="D23" s="11" t="s">
        <v>262</v>
      </c>
      <c r="E23" s="11" t="s">
        <v>263</v>
      </c>
      <c r="F23" s="11" t="s">
        <v>167</v>
      </c>
      <c r="G23" s="11" t="s">
        <v>249</v>
      </c>
      <c r="H23" s="11" t="s">
        <v>264</v>
      </c>
      <c r="I23" s="11" t="s">
        <v>184</v>
      </c>
      <c r="J23" s="11" t="s">
        <v>251</v>
      </c>
      <c r="K23" s="11" t="s">
        <v>161</v>
      </c>
      <c r="L23" s="11" t="s">
        <v>252</v>
      </c>
      <c r="M23" s="11" t="s">
        <v>253</v>
      </c>
    </row>
    <row r="24" customFormat="false" ht="15" hidden="false" customHeight="true" outlineLevel="0" collapsed="false">
      <c r="A24" s="11" t="s">
        <v>66</v>
      </c>
      <c r="B24" s="11" t="s">
        <v>242</v>
      </c>
      <c r="C24" s="11" t="s">
        <v>265</v>
      </c>
      <c r="D24" s="11" t="s">
        <v>265</v>
      </c>
      <c r="E24" s="11" t="s">
        <v>266</v>
      </c>
      <c r="F24" s="11" t="s">
        <v>167</v>
      </c>
      <c r="G24" s="11" t="s">
        <v>249</v>
      </c>
      <c r="H24" s="11" t="s">
        <v>267</v>
      </c>
      <c r="I24" s="11" t="s">
        <v>184</v>
      </c>
      <c r="J24" s="11" t="s">
        <v>251</v>
      </c>
      <c r="K24" s="11" t="s">
        <v>161</v>
      </c>
      <c r="L24" s="11" t="s">
        <v>252</v>
      </c>
      <c r="M24" s="11" t="s">
        <v>253</v>
      </c>
    </row>
    <row r="25" customFormat="false" ht="15" hidden="false" customHeight="true" outlineLevel="0" collapsed="false">
      <c r="A25" s="11" t="s">
        <v>66</v>
      </c>
      <c r="B25" s="11" t="s">
        <v>242</v>
      </c>
      <c r="C25" s="11" t="s">
        <v>268</v>
      </c>
      <c r="D25" s="11" t="s">
        <v>268</v>
      </c>
      <c r="E25" s="11" t="s">
        <v>269</v>
      </c>
      <c r="F25" s="11" t="s">
        <v>167</v>
      </c>
      <c r="G25" s="11" t="s">
        <v>249</v>
      </c>
      <c r="H25" s="11" t="s">
        <v>270</v>
      </c>
      <c r="I25" s="11" t="s">
        <v>184</v>
      </c>
      <c r="J25" s="11" t="s">
        <v>251</v>
      </c>
      <c r="K25" s="11" t="s">
        <v>161</v>
      </c>
      <c r="L25" s="11" t="s">
        <v>252</v>
      </c>
      <c r="M25" s="11" t="s">
        <v>253</v>
      </c>
    </row>
    <row r="26" customFormat="false" ht="15" hidden="false" customHeight="true" outlineLevel="0" collapsed="false">
      <c r="A26" s="11" t="s">
        <v>66</v>
      </c>
      <c r="B26" s="11" t="s">
        <v>242</v>
      </c>
      <c r="C26" s="11" t="s">
        <v>271</v>
      </c>
      <c r="D26" s="11" t="s">
        <v>272</v>
      </c>
      <c r="E26" s="11" t="s">
        <v>273</v>
      </c>
      <c r="F26" s="11" t="s">
        <v>167</v>
      </c>
      <c r="G26" s="11" t="s">
        <v>249</v>
      </c>
      <c r="H26" s="11" t="s">
        <v>274</v>
      </c>
      <c r="I26" s="11" t="s">
        <v>184</v>
      </c>
      <c r="J26" s="11" t="s">
        <v>251</v>
      </c>
      <c r="K26" s="11" t="s">
        <v>161</v>
      </c>
      <c r="L26" s="11" t="s">
        <v>275</v>
      </c>
      <c r="M26" s="11" t="s">
        <v>253</v>
      </c>
    </row>
    <row r="27" customFormat="false" ht="15" hidden="false" customHeight="true" outlineLevel="0" collapsed="false">
      <c r="A27" s="11" t="s">
        <v>66</v>
      </c>
      <c r="B27" s="11" t="s">
        <v>242</v>
      </c>
      <c r="C27" s="11" t="s">
        <v>276</v>
      </c>
      <c r="D27" s="11" t="s">
        <v>276</v>
      </c>
      <c r="E27" s="11" t="s">
        <v>277</v>
      </c>
      <c r="F27" s="11" t="s">
        <v>167</v>
      </c>
      <c r="G27" s="11" t="s">
        <v>249</v>
      </c>
      <c r="H27" s="11" t="s">
        <v>278</v>
      </c>
      <c r="I27" s="11" t="s">
        <v>184</v>
      </c>
      <c r="J27" s="11" t="s">
        <v>251</v>
      </c>
      <c r="K27" s="11" t="s">
        <v>161</v>
      </c>
      <c r="L27" s="11" t="s">
        <v>252</v>
      </c>
      <c r="M27" s="11" t="s">
        <v>253</v>
      </c>
    </row>
    <row r="28" customFormat="false" ht="15" hidden="false" customHeight="true" outlineLevel="0" collapsed="false">
      <c r="A28" s="11" t="s">
        <v>76</v>
      </c>
      <c r="B28" s="11" t="s">
        <v>279</v>
      </c>
      <c r="C28" s="11" t="s">
        <v>280</v>
      </c>
      <c r="D28" s="11" t="s">
        <v>280</v>
      </c>
      <c r="E28" s="11" t="s">
        <v>281</v>
      </c>
      <c r="F28" s="11" t="s">
        <v>282</v>
      </c>
      <c r="G28" s="11" t="s">
        <v>158</v>
      </c>
      <c r="H28" s="11" t="s">
        <v>283</v>
      </c>
      <c r="I28" s="11" t="s">
        <v>47</v>
      </c>
      <c r="J28" s="11" t="s">
        <v>284</v>
      </c>
      <c r="K28" s="11" t="s">
        <v>161</v>
      </c>
      <c r="L28" s="11" t="s">
        <v>285</v>
      </c>
      <c r="M28" s="11" t="s">
        <v>286</v>
      </c>
    </row>
    <row r="29" customFormat="false" ht="15" hidden="false" customHeight="true" outlineLevel="0" collapsed="false">
      <c r="A29" s="11" t="s">
        <v>76</v>
      </c>
      <c r="B29" s="11" t="s">
        <v>279</v>
      </c>
      <c r="C29" s="11" t="s">
        <v>287</v>
      </c>
      <c r="D29" s="11" t="s">
        <v>287</v>
      </c>
      <c r="E29" s="11" t="s">
        <v>288</v>
      </c>
      <c r="F29" s="11" t="s">
        <v>157</v>
      </c>
      <c r="G29" s="11" t="s">
        <v>158</v>
      </c>
      <c r="H29" s="11" t="s">
        <v>289</v>
      </c>
      <c r="I29" s="11" t="s">
        <v>47</v>
      </c>
      <c r="J29" s="11" t="s">
        <v>290</v>
      </c>
      <c r="K29" s="11" t="s">
        <v>161</v>
      </c>
      <c r="L29" s="11" t="s">
        <v>291</v>
      </c>
      <c r="M29" s="11" t="s">
        <v>292</v>
      </c>
    </row>
    <row r="30" customFormat="false" ht="15" hidden="false" customHeight="true" outlineLevel="0" collapsed="false">
      <c r="A30" s="11" t="s">
        <v>76</v>
      </c>
      <c r="B30" s="11" t="s">
        <v>279</v>
      </c>
      <c r="C30" s="11" t="s">
        <v>293</v>
      </c>
      <c r="D30" s="11" t="s">
        <v>293</v>
      </c>
      <c r="E30" s="11" t="s">
        <v>294</v>
      </c>
      <c r="F30" s="11" t="s">
        <v>282</v>
      </c>
      <c r="G30" s="11" t="s">
        <v>158</v>
      </c>
      <c r="H30" s="11" t="s">
        <v>295</v>
      </c>
      <c r="I30" s="11" t="s">
        <v>47</v>
      </c>
      <c r="J30" s="11" t="s">
        <v>284</v>
      </c>
      <c r="K30" s="11" t="s">
        <v>161</v>
      </c>
      <c r="L30" s="11" t="s">
        <v>285</v>
      </c>
      <c r="M30" s="11" t="s">
        <v>296</v>
      </c>
    </row>
    <row r="31" customFormat="false" ht="15" hidden="false" customHeight="true" outlineLevel="0" collapsed="false">
      <c r="A31" s="11" t="s">
        <v>76</v>
      </c>
      <c r="B31" s="11" t="s">
        <v>279</v>
      </c>
      <c r="C31" s="11" t="s">
        <v>297</v>
      </c>
      <c r="D31" s="11" t="s">
        <v>297</v>
      </c>
      <c r="E31" s="11" t="s">
        <v>298</v>
      </c>
      <c r="F31" s="11" t="s">
        <v>157</v>
      </c>
      <c r="G31" s="11" t="s">
        <v>158</v>
      </c>
      <c r="H31" s="11" t="s">
        <v>299</v>
      </c>
      <c r="I31" s="11" t="s">
        <v>47</v>
      </c>
      <c r="J31" s="11" t="s">
        <v>290</v>
      </c>
      <c r="K31" s="11" t="s">
        <v>161</v>
      </c>
      <c r="L31" s="11" t="s">
        <v>285</v>
      </c>
      <c r="M31" s="11" t="s">
        <v>300</v>
      </c>
    </row>
    <row r="32" customFormat="false" ht="15" hidden="false" customHeight="true" outlineLevel="0" collapsed="false">
      <c r="A32" s="11" t="s">
        <v>76</v>
      </c>
      <c r="B32" s="11" t="s">
        <v>279</v>
      </c>
      <c r="C32" s="11" t="s">
        <v>301</v>
      </c>
      <c r="D32" s="11" t="s">
        <v>301</v>
      </c>
      <c r="E32" s="11" t="s">
        <v>302</v>
      </c>
      <c r="F32" s="11" t="s">
        <v>157</v>
      </c>
      <c r="G32" s="11" t="s">
        <v>158</v>
      </c>
      <c r="H32" s="11" t="s">
        <v>303</v>
      </c>
      <c r="I32" s="11" t="s">
        <v>47</v>
      </c>
      <c r="J32" s="11" t="s">
        <v>304</v>
      </c>
      <c r="K32" s="11" t="s">
        <v>161</v>
      </c>
      <c r="L32" s="11" t="s">
        <v>285</v>
      </c>
      <c r="M32" s="11" t="s">
        <v>305</v>
      </c>
    </row>
    <row r="33" customFormat="false" ht="15" hidden="false" customHeight="true" outlineLevel="0" collapsed="false">
      <c r="A33" s="11" t="s">
        <v>76</v>
      </c>
      <c r="B33" s="11" t="s">
        <v>279</v>
      </c>
      <c r="C33" s="11" t="s">
        <v>306</v>
      </c>
      <c r="D33" s="11" t="s">
        <v>306</v>
      </c>
      <c r="E33" s="11" t="s">
        <v>307</v>
      </c>
      <c r="F33" s="11" t="s">
        <v>157</v>
      </c>
      <c r="G33" s="11" t="s">
        <v>158</v>
      </c>
      <c r="H33" s="11" t="s">
        <v>308</v>
      </c>
      <c r="I33" s="11" t="s">
        <v>47</v>
      </c>
      <c r="J33" s="11" t="s">
        <v>309</v>
      </c>
      <c r="K33" s="11" t="s">
        <v>161</v>
      </c>
      <c r="L33" s="11" t="s">
        <v>310</v>
      </c>
      <c r="M33" s="11" t="s">
        <v>311</v>
      </c>
    </row>
    <row r="34" customFormat="false" ht="15" hidden="false" customHeight="true" outlineLevel="0" collapsed="false">
      <c r="A34" s="11" t="s">
        <v>76</v>
      </c>
      <c r="B34" s="11" t="s">
        <v>279</v>
      </c>
      <c r="C34" s="11" t="s">
        <v>312</v>
      </c>
      <c r="D34" s="11" t="s">
        <v>312</v>
      </c>
      <c r="E34" s="11" t="s">
        <v>313</v>
      </c>
      <c r="F34" s="11" t="s">
        <v>157</v>
      </c>
      <c r="G34" s="11" t="s">
        <v>158</v>
      </c>
      <c r="H34" s="11" t="s">
        <v>314</v>
      </c>
      <c r="I34" s="11" t="s">
        <v>47</v>
      </c>
      <c r="J34" s="11" t="s">
        <v>309</v>
      </c>
      <c r="K34" s="11" t="s">
        <v>161</v>
      </c>
      <c r="L34" s="11" t="s">
        <v>310</v>
      </c>
      <c r="M34" s="11" t="s">
        <v>311</v>
      </c>
    </row>
    <row r="35" customFormat="false" ht="15" hidden="false" customHeight="true" outlineLevel="0" collapsed="false">
      <c r="A35" s="11" t="s">
        <v>76</v>
      </c>
      <c r="B35" s="11" t="s">
        <v>279</v>
      </c>
      <c r="C35" s="11" t="s">
        <v>315</v>
      </c>
      <c r="D35" s="11" t="s">
        <v>315</v>
      </c>
      <c r="E35" s="11" t="s">
        <v>316</v>
      </c>
      <c r="F35" s="11" t="s">
        <v>157</v>
      </c>
      <c r="G35" s="11" t="s">
        <v>158</v>
      </c>
      <c r="H35" s="11" t="s">
        <v>317</v>
      </c>
      <c r="I35" s="11" t="s">
        <v>47</v>
      </c>
      <c r="J35" s="11" t="s">
        <v>309</v>
      </c>
      <c r="K35" s="11" t="s">
        <v>161</v>
      </c>
      <c r="L35" s="11" t="s">
        <v>310</v>
      </c>
      <c r="M35" s="11" t="s">
        <v>311</v>
      </c>
    </row>
    <row r="36" customFormat="false" ht="15" hidden="false" customHeight="true" outlineLevel="0" collapsed="false">
      <c r="A36" s="11" t="s">
        <v>121</v>
      </c>
      <c r="B36" s="11" t="s">
        <v>318</v>
      </c>
      <c r="C36" s="11" t="s">
        <v>319</v>
      </c>
      <c r="D36" s="11" t="s">
        <v>320</v>
      </c>
      <c r="E36" s="11" t="s">
        <v>321</v>
      </c>
      <c r="F36" s="11" t="s">
        <v>167</v>
      </c>
      <c r="G36" s="11" t="s">
        <v>168</v>
      </c>
      <c r="H36" s="11" t="s">
        <v>322</v>
      </c>
      <c r="I36" s="11" t="s">
        <v>47</v>
      </c>
      <c r="J36" s="11" t="s">
        <v>126</v>
      </c>
      <c r="K36" s="11" t="s">
        <v>161</v>
      </c>
      <c r="L36" s="11" t="s">
        <v>285</v>
      </c>
      <c r="M36" s="11" t="s">
        <v>323</v>
      </c>
    </row>
    <row r="37" customFormat="false" ht="15" hidden="false" customHeight="true" outlineLevel="0" collapsed="false">
      <c r="A37" s="11" t="s">
        <v>121</v>
      </c>
      <c r="B37" s="11" t="s">
        <v>318</v>
      </c>
      <c r="C37" s="11" t="s">
        <v>324</v>
      </c>
      <c r="D37" s="11" t="s">
        <v>325</v>
      </c>
      <c r="E37" s="11" t="s">
        <v>326</v>
      </c>
      <c r="F37" s="11" t="s">
        <v>167</v>
      </c>
      <c r="G37" s="11" t="s">
        <v>327</v>
      </c>
      <c r="H37" s="11" t="s">
        <v>328</v>
      </c>
      <c r="I37" s="11" t="s">
        <v>47</v>
      </c>
      <c r="J37" s="11" t="s">
        <v>329</v>
      </c>
      <c r="K37" s="11" t="s">
        <v>161</v>
      </c>
      <c r="L37" s="11" t="s">
        <v>285</v>
      </c>
      <c r="M37" s="11" t="s">
        <v>330</v>
      </c>
    </row>
    <row r="38" customFormat="false" ht="15" hidden="false" customHeight="true" outlineLevel="0" collapsed="false">
      <c r="A38" s="11" t="s">
        <v>121</v>
      </c>
      <c r="B38" s="11" t="s">
        <v>318</v>
      </c>
      <c r="C38" s="11" t="s">
        <v>331</v>
      </c>
      <c r="D38" s="11" t="s">
        <v>332</v>
      </c>
      <c r="E38" s="11" t="s">
        <v>333</v>
      </c>
      <c r="F38" s="11" t="s">
        <v>167</v>
      </c>
      <c r="G38" s="11" t="s">
        <v>334</v>
      </c>
      <c r="H38" s="11" t="s">
        <v>335</v>
      </c>
      <c r="I38" s="11" t="s">
        <v>47</v>
      </c>
      <c r="J38" s="11" t="s">
        <v>185</v>
      </c>
      <c r="K38" s="11" t="s">
        <v>161</v>
      </c>
      <c r="L38" s="11" t="s">
        <v>336</v>
      </c>
      <c r="M38" s="11" t="s">
        <v>337</v>
      </c>
    </row>
    <row r="39" customFormat="false" ht="15" hidden="false" customHeight="true" outlineLevel="0" collapsed="false">
      <c r="A39" s="11" t="s">
        <v>121</v>
      </c>
      <c r="B39" s="11" t="s">
        <v>318</v>
      </c>
      <c r="C39" s="11" t="s">
        <v>338</v>
      </c>
      <c r="D39" s="11" t="s">
        <v>339</v>
      </c>
      <c r="E39" s="11" t="s">
        <v>340</v>
      </c>
      <c r="F39" s="11" t="s">
        <v>341</v>
      </c>
      <c r="G39" s="11" t="s">
        <v>342</v>
      </c>
      <c r="H39" s="11" t="s">
        <v>343</v>
      </c>
      <c r="I39" s="11" t="s">
        <v>184</v>
      </c>
      <c r="J39" s="11" t="s">
        <v>185</v>
      </c>
      <c r="K39" s="11" t="s">
        <v>161</v>
      </c>
      <c r="L39" s="11" t="s">
        <v>344</v>
      </c>
      <c r="M39" s="11" t="s">
        <v>345</v>
      </c>
    </row>
    <row r="40" customFormat="false" ht="15" hidden="false" customHeight="true" outlineLevel="0" collapsed="false">
      <c r="A40" s="11" t="s">
        <v>121</v>
      </c>
      <c r="B40" s="11" t="s">
        <v>318</v>
      </c>
      <c r="C40" s="11" t="s">
        <v>346</v>
      </c>
      <c r="D40" s="11" t="s">
        <v>347</v>
      </c>
      <c r="E40" s="11" t="s">
        <v>348</v>
      </c>
      <c r="F40" s="11" t="s">
        <v>167</v>
      </c>
      <c r="G40" s="11" t="s">
        <v>334</v>
      </c>
      <c r="H40" s="11" t="s">
        <v>349</v>
      </c>
      <c r="I40" s="11" t="s">
        <v>184</v>
      </c>
      <c r="J40" s="11" t="s">
        <v>185</v>
      </c>
      <c r="K40" s="11" t="s">
        <v>161</v>
      </c>
      <c r="L40" s="11" t="s">
        <v>350</v>
      </c>
      <c r="M40" s="11" t="s">
        <v>351</v>
      </c>
    </row>
    <row r="41" customFormat="false" ht="15" hidden="false" customHeight="true" outlineLevel="0" collapsed="false">
      <c r="A41" s="11" t="s">
        <v>121</v>
      </c>
      <c r="B41" s="11" t="s">
        <v>318</v>
      </c>
      <c r="C41" s="11" t="s">
        <v>352</v>
      </c>
      <c r="D41" s="11" t="s">
        <v>353</v>
      </c>
      <c r="E41" s="11" t="s">
        <v>354</v>
      </c>
      <c r="F41" s="11" t="s">
        <v>341</v>
      </c>
      <c r="G41" s="11" t="s">
        <v>342</v>
      </c>
      <c r="H41" s="11" t="s">
        <v>355</v>
      </c>
      <c r="I41" s="11" t="s">
        <v>184</v>
      </c>
      <c r="J41" s="11" t="s">
        <v>356</v>
      </c>
      <c r="K41" s="11" t="s">
        <v>161</v>
      </c>
      <c r="L41" s="11" t="s">
        <v>357</v>
      </c>
      <c r="M41" s="11" t="s">
        <v>358</v>
      </c>
    </row>
    <row r="42" customFormat="false" ht="15" hidden="false" customHeight="true" outlineLevel="0" collapsed="false">
      <c r="A42" s="11" t="s">
        <v>121</v>
      </c>
      <c r="B42" s="11" t="s">
        <v>318</v>
      </c>
      <c r="C42" s="11" t="s">
        <v>359</v>
      </c>
      <c r="D42" s="11" t="s">
        <v>360</v>
      </c>
      <c r="E42" s="11" t="s">
        <v>361</v>
      </c>
      <c r="F42" s="11" t="s">
        <v>167</v>
      </c>
      <c r="G42" s="11" t="s">
        <v>334</v>
      </c>
      <c r="H42" s="11" t="s">
        <v>362</v>
      </c>
      <c r="I42" s="11" t="s">
        <v>184</v>
      </c>
      <c r="J42" s="11" t="s">
        <v>185</v>
      </c>
      <c r="K42" s="11" t="s">
        <v>161</v>
      </c>
      <c r="L42" s="11" t="s">
        <v>350</v>
      </c>
      <c r="M42" s="11" t="s">
        <v>363</v>
      </c>
    </row>
    <row r="43" customFormat="false" ht="15" hidden="false" customHeight="true" outlineLevel="0" collapsed="false">
      <c r="A43" s="11" t="s">
        <v>121</v>
      </c>
      <c r="B43" s="11" t="s">
        <v>318</v>
      </c>
      <c r="C43" s="11" t="s">
        <v>364</v>
      </c>
      <c r="D43" s="11" t="s">
        <v>365</v>
      </c>
      <c r="E43" s="11" t="s">
        <v>366</v>
      </c>
      <c r="F43" s="11" t="s">
        <v>341</v>
      </c>
      <c r="G43" s="11" t="s">
        <v>342</v>
      </c>
      <c r="H43" s="11" t="s">
        <v>367</v>
      </c>
      <c r="I43" s="11" t="s">
        <v>184</v>
      </c>
      <c r="J43" s="11" t="s">
        <v>356</v>
      </c>
      <c r="K43" s="11" t="s">
        <v>161</v>
      </c>
      <c r="L43" s="11" t="s">
        <v>368</v>
      </c>
      <c r="M43" s="11" t="s">
        <v>358</v>
      </c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</sheetData>
  <dataValidations count="3">
    <dataValidation allowBlank="true" error="Elijan una opción de la lista" errorStyle="stop" operator="between" showDropDown="false" showErrorMessage="false" showInputMessage="false" sqref="F5:F44" type="list">
      <formula1>"Texto,Entero,Decimal,Fecha,Booleano,Código,Coordenada / geometría"</formula1>
      <formula2>0</formula2>
    </dataValidation>
    <dataValidation allowBlank="true" error="Elijan una opción de la lista" errorStyle="stop" operator="between" showDropDown="false" showErrorMessage="false" showInputMessage="false" sqref="I5:I44" type="list">
      <formula1>"Sí,No"</formula1>
      <formula2>0</formula2>
    </dataValidation>
    <dataValidation allowBlank="true" error="Elijan una opción de la lista" errorStyle="stop" operator="between" showDropDown="false" showErrorMessage="false" showInputMessage="false" sqref="K5:K44" type="list">
      <formula1>"Pública,Interna,Sensible,Dato personal"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4" min="3" style="1" width="36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30"/>
  </cols>
  <sheetData>
    <row r="1" customFormat="false" ht="18" hidden="false" customHeight="true" outlineLevel="0" collapsed="false">
      <c r="A1" s="7" t="s">
        <v>369</v>
      </c>
    </row>
    <row r="2" customFormat="false" ht="15" hidden="false" customHeight="true" outlineLevel="0" collapsed="false">
      <c r="A2" s="8" t="s">
        <v>370</v>
      </c>
    </row>
    <row r="3" customFormat="false" ht="42" hidden="false" customHeight="true" outlineLevel="0" collapsed="false">
      <c r="A3" s="9" t="s">
        <v>371</v>
      </c>
      <c r="B3" s="9" t="s">
        <v>372</v>
      </c>
      <c r="C3" s="9" t="s">
        <v>373</v>
      </c>
      <c r="D3" s="9" t="s">
        <v>374</v>
      </c>
      <c r="E3" s="9" t="s">
        <v>375</v>
      </c>
      <c r="F3" s="9" t="s">
        <v>376</v>
      </c>
      <c r="G3" s="9" t="s">
        <v>377</v>
      </c>
      <c r="H3" s="9" t="s">
        <v>378</v>
      </c>
    </row>
    <row r="4" customFormat="false" ht="51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68.25" hidden="false" customHeight="true" outlineLevel="0" collapsed="false">
      <c r="A5" s="11" t="n">
        <v>1</v>
      </c>
      <c r="B5" s="11" t="s">
        <v>379</v>
      </c>
      <c r="C5" s="11" t="s">
        <v>380</v>
      </c>
      <c r="D5" s="11" t="s">
        <v>381</v>
      </c>
      <c r="E5" s="11" t="s">
        <v>382</v>
      </c>
      <c r="F5" s="11" t="s">
        <v>383</v>
      </c>
      <c r="G5" s="11"/>
      <c r="H5" s="11" t="s">
        <v>384</v>
      </c>
    </row>
    <row r="6" customFormat="false" ht="57" hidden="false" customHeight="true" outlineLevel="0" collapsed="false">
      <c r="A6" s="11" t="n">
        <v>2</v>
      </c>
      <c r="B6" s="11" t="s">
        <v>379</v>
      </c>
      <c r="C6" s="11" t="s">
        <v>385</v>
      </c>
      <c r="D6" s="11" t="s">
        <v>386</v>
      </c>
      <c r="E6" s="11" t="s">
        <v>387</v>
      </c>
      <c r="F6" s="11" t="s">
        <v>388</v>
      </c>
      <c r="G6" s="11" t="s">
        <v>39</v>
      </c>
      <c r="H6" s="11" t="s">
        <v>389</v>
      </c>
    </row>
    <row r="7" customFormat="false" ht="57" hidden="false" customHeight="true" outlineLevel="0" collapsed="false">
      <c r="A7" s="11" t="n">
        <v>3</v>
      </c>
      <c r="B7" s="11" t="s">
        <v>379</v>
      </c>
      <c r="C7" s="11" t="s">
        <v>390</v>
      </c>
      <c r="D7" s="11" t="s">
        <v>391</v>
      </c>
      <c r="E7" s="11" t="s">
        <v>392</v>
      </c>
      <c r="F7" s="11" t="s">
        <v>393</v>
      </c>
      <c r="G7" s="11" t="s">
        <v>109</v>
      </c>
      <c r="H7" s="11" t="s">
        <v>394</v>
      </c>
    </row>
    <row r="8" customFormat="false" ht="68.25" hidden="false" customHeight="true" outlineLevel="0" collapsed="false">
      <c r="A8" s="11" t="n">
        <v>4</v>
      </c>
      <c r="B8" s="11" t="s">
        <v>379</v>
      </c>
      <c r="C8" s="11" t="s">
        <v>395</v>
      </c>
      <c r="D8" s="11" t="s">
        <v>396</v>
      </c>
      <c r="E8" s="11" t="s">
        <v>397</v>
      </c>
      <c r="F8" s="11" t="s">
        <v>398</v>
      </c>
      <c r="G8" s="11" t="s">
        <v>130</v>
      </c>
      <c r="H8" s="11" t="s">
        <v>399</v>
      </c>
    </row>
    <row r="9" customFormat="false" ht="45.75" hidden="false" customHeight="true" outlineLevel="0" collapsed="false">
      <c r="A9" s="11" t="n">
        <v>5</v>
      </c>
      <c r="B9" s="11" t="s">
        <v>379</v>
      </c>
      <c r="C9" s="11" t="s">
        <v>400</v>
      </c>
      <c r="D9" s="11" t="s">
        <v>401</v>
      </c>
      <c r="E9" s="11" t="s">
        <v>402</v>
      </c>
      <c r="F9" s="11" t="s">
        <v>383</v>
      </c>
      <c r="G9" s="11" t="s">
        <v>403</v>
      </c>
      <c r="H9" s="11" t="s">
        <v>404</v>
      </c>
    </row>
    <row r="10" customFormat="false" ht="57" hidden="false" customHeight="true" outlineLevel="0" collapsed="false">
      <c r="A10" s="11" t="n">
        <v>6</v>
      </c>
      <c r="B10" s="11" t="s">
        <v>379</v>
      </c>
      <c r="C10" s="11" t="s">
        <v>405</v>
      </c>
      <c r="D10" s="11" t="s">
        <v>406</v>
      </c>
      <c r="E10" s="11" t="s">
        <v>407</v>
      </c>
      <c r="F10" s="11" t="s">
        <v>383</v>
      </c>
      <c r="G10" s="11" t="s">
        <v>121</v>
      </c>
      <c r="H10" s="11" t="s">
        <v>408</v>
      </c>
    </row>
    <row r="11" customFormat="false" ht="68.25" hidden="false" customHeight="true" outlineLevel="0" collapsed="false">
      <c r="A11" s="11" t="n">
        <v>7</v>
      </c>
      <c r="B11" s="11" t="s">
        <v>379</v>
      </c>
      <c r="C11" s="11" t="s">
        <v>409</v>
      </c>
      <c r="D11" s="11" t="s">
        <v>410</v>
      </c>
      <c r="E11" s="11" t="s">
        <v>411</v>
      </c>
      <c r="F11" s="11" t="s">
        <v>383</v>
      </c>
      <c r="G11" s="11" t="s">
        <v>412</v>
      </c>
      <c r="H11" s="11" t="s">
        <v>413</v>
      </c>
    </row>
    <row r="12" customFormat="false" ht="90.75" hidden="false" customHeight="true" outlineLevel="0" collapsed="false">
      <c r="A12" s="11" t="n">
        <v>8</v>
      </c>
      <c r="B12" s="11" t="s">
        <v>379</v>
      </c>
      <c r="C12" s="11" t="s">
        <v>414</v>
      </c>
      <c r="D12" s="11" t="s">
        <v>415</v>
      </c>
      <c r="E12" s="11" t="s">
        <v>416</v>
      </c>
      <c r="F12" s="11" t="s">
        <v>393</v>
      </c>
      <c r="G12" s="11" t="s">
        <v>66</v>
      </c>
      <c r="H12" s="11" t="s">
        <v>417</v>
      </c>
    </row>
    <row r="13" customFormat="false" ht="68.25" hidden="false" customHeight="true" outlineLevel="0" collapsed="false">
      <c r="A13" s="11" t="n">
        <v>9</v>
      </c>
      <c r="B13" s="11" t="s">
        <v>379</v>
      </c>
      <c r="C13" s="11" t="s">
        <v>418</v>
      </c>
      <c r="D13" s="11" t="s">
        <v>419</v>
      </c>
      <c r="E13" s="11" t="s">
        <v>420</v>
      </c>
      <c r="F13" s="11" t="s">
        <v>393</v>
      </c>
      <c r="G13" s="11" t="s">
        <v>421</v>
      </c>
      <c r="H13" s="11" t="s">
        <v>422</v>
      </c>
    </row>
    <row r="14" customFormat="false" ht="79.5" hidden="false" customHeight="true" outlineLevel="0" collapsed="false">
      <c r="A14" s="11" t="n">
        <v>10</v>
      </c>
      <c r="B14" s="11" t="s">
        <v>379</v>
      </c>
      <c r="C14" s="11" t="s">
        <v>423</v>
      </c>
      <c r="D14" s="11" t="s">
        <v>424</v>
      </c>
      <c r="E14" s="11" t="s">
        <v>425</v>
      </c>
      <c r="F14" s="11" t="s">
        <v>388</v>
      </c>
      <c r="G14" s="11" t="s">
        <v>403</v>
      </c>
      <c r="H14" s="11" t="s">
        <v>426</v>
      </c>
    </row>
    <row r="15" customFormat="false" ht="15" hidden="false" customHeight="true" outlineLevel="0" collapsed="false">
      <c r="A15" s="11" t="n">
        <v>11</v>
      </c>
      <c r="B15" s="11" t="s">
        <v>379</v>
      </c>
      <c r="C15" s="11" t="s">
        <v>427</v>
      </c>
      <c r="D15" s="11" t="s">
        <v>428</v>
      </c>
      <c r="E15" s="11" t="s">
        <v>429</v>
      </c>
      <c r="F15" s="11" t="s">
        <v>383</v>
      </c>
      <c r="G15" s="11" t="s">
        <v>55</v>
      </c>
      <c r="H15" s="11" t="s">
        <v>430</v>
      </c>
    </row>
    <row r="16" customFormat="false" ht="15" hidden="false" customHeight="true" outlineLevel="0" collapsed="false">
      <c r="A16" s="11" t="n">
        <v>12</v>
      </c>
      <c r="B16" s="11" t="s">
        <v>379</v>
      </c>
      <c r="C16" s="11" t="s">
        <v>431</v>
      </c>
      <c r="D16" s="11" t="s">
        <v>432</v>
      </c>
      <c r="E16" s="11" t="s">
        <v>433</v>
      </c>
      <c r="F16" s="11" t="s">
        <v>383</v>
      </c>
      <c r="G16" s="11" t="s">
        <v>39</v>
      </c>
      <c r="H16" s="11" t="s">
        <v>434</v>
      </c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</row>
  </sheetData>
  <dataValidations count="1">
    <dataValidation allowBlank="true" error="Elijan una opción de la lista" errorStyle="stop" operator="between" showDropDown="false" showErrorMessage="false" showInputMessage="false" sqref="F5:F44" type="list">
      <formula1>"Correcto,Parcial,Incorrecto,Inventado"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</cols>
  <sheetData>
    <row r="1" customFormat="false" ht="18" hidden="false" customHeight="true" outlineLevel="0" collapsed="false">
      <c r="A1" s="7" t="s">
        <v>435</v>
      </c>
    </row>
    <row r="2" customFormat="false" ht="15" hidden="false" customHeight="true" outlineLevel="0" collapsed="false">
      <c r="A2" s="8" t="s">
        <v>436</v>
      </c>
    </row>
    <row r="4" customFormat="false" ht="15" hidden="false" customHeight="true" outlineLevel="0" collapsed="false">
      <c r="A4" s="12" t="s">
        <v>437</v>
      </c>
      <c r="B4" s="13" t="n">
        <f aca="false">COUNTA('1. Fuentes'!A5:A44)</f>
        <v>10</v>
      </c>
    </row>
    <row r="5" customFormat="false" ht="15" hidden="false" customHeight="true" outlineLevel="0" collapsed="false">
      <c r="A5" s="14" t="s">
        <v>438</v>
      </c>
      <c r="B5" s="13" t="n">
        <f aca="false">COUNTIF('1. Fuentes'!N5:N44,"Integrada al lago")</f>
        <v>5</v>
      </c>
    </row>
    <row r="6" customFormat="false" ht="15" hidden="false" customHeight="true" outlineLevel="0" collapsed="false">
      <c r="A6" s="14" t="s">
        <v>439</v>
      </c>
      <c r="B6" s="13" t="n">
        <f aca="false">COUNTIF('1. Fuentes'!N5:N44,"Candidata")</f>
        <v>1</v>
      </c>
    </row>
    <row r="7" customFormat="false" ht="15" hidden="false" customHeight="true" outlineLevel="0" collapsed="false">
      <c r="A7" s="14" t="s">
        <v>440</v>
      </c>
      <c r="B7" s="13" t="n">
        <f aca="false">COUNTIF('1. Fuentes'!N5:N44,"No responde")</f>
        <v>1</v>
      </c>
    </row>
    <row r="8" customFormat="false" ht="15" hidden="false" customHeight="true" outlineLevel="0" collapsed="false">
      <c r="A8" s="14" t="s">
        <v>441</v>
      </c>
      <c r="B8" s="13" t="n">
        <f aca="false">COUNTIF('1. Fuentes'!N5:N44,"No existe (la inventó la IA)")</f>
        <v>0</v>
      </c>
    </row>
    <row r="9" customFormat="false" ht="15" hidden="false" customHeight="true" outlineLevel="0" collapsed="false">
      <c r="A9" s="14" t="s">
        <v>442</v>
      </c>
      <c r="B9" s="13" t="n">
        <f aca="false">COUNTIF('1. Fuentes'!N5:N44,"Descartada")</f>
        <v>3</v>
      </c>
    </row>
    <row r="10" customFormat="false" ht="15" hidden="false" customHeight="true" outlineLevel="0" collapsed="false">
      <c r="A10" s="12" t="s">
        <v>443</v>
      </c>
      <c r="B10" s="13" t="n">
        <f aca="false">COUNTIF('1. Fuentes'!H5:H44,"no declara")+COUNTIFS('1. Fuentes'!A5:A44,"&lt;&gt;",'1. Fuentes'!H5:H44,"")</f>
        <v>1</v>
      </c>
    </row>
    <row r="11" customFormat="false" ht="15" hidden="false" customHeight="true" outlineLevel="0" collapsed="false">
      <c r="A11" s="12" t="s">
        <v>444</v>
      </c>
      <c r="B11" s="13" t="n">
        <f aca="false">COUNTIF('1. Fuentes'!I5:I44,"Personas identificables")+COUNTIF('1. Fuentes'!I5:I44,"Texto libre sin revisar")</f>
        <v>3</v>
      </c>
    </row>
    <row r="12" customFormat="false" ht="15" hidden="false" customHeight="true" outlineLevel="0" collapsed="false">
      <c r="A12" s="12" t="s">
        <v>445</v>
      </c>
      <c r="B12" s="13" t="n">
        <f aca="false">COUNTA('2. Diccionario'!C5:C44)</f>
        <v>39</v>
      </c>
    </row>
    <row r="13" customFormat="false" ht="15" hidden="false" customHeight="true" outlineLevel="0" collapsed="false">
      <c r="A13" s="14" t="s">
        <v>446</v>
      </c>
      <c r="B13" s="13" t="n">
        <f aca="false">COUNTIF('2. Diccionario'!K5:K44,"Sensible")+COUNTIF('2. Diccionario'!K5:K44,"Dato personal")</f>
        <v>1</v>
      </c>
    </row>
    <row r="14" customFormat="false" ht="15" hidden="false" customHeight="true" outlineLevel="0" collapsed="false">
      <c r="A14" s="14" t="s">
        <v>447</v>
      </c>
      <c r="B14" s="13" t="n">
        <f aca="false">COUNTIFS('2. Diccionario'!C5:C44,"&lt;&gt;",'2. Diccionario'!M5:M44,"")</f>
        <v>0</v>
      </c>
    </row>
    <row r="15" customFormat="false" ht="15" hidden="false" customHeight="true" outlineLevel="0" collapsed="false">
      <c r="A15" s="12" t="s">
        <v>448</v>
      </c>
      <c r="B15" s="13" t="n">
        <f aca="false">COUNTA('3. Bitácora IA'!C5:C44)</f>
        <v>12</v>
      </c>
    </row>
    <row r="16" customFormat="false" ht="15" hidden="false" customHeight="true" outlineLevel="0" collapsed="false">
      <c r="A16" s="14" t="s">
        <v>449</v>
      </c>
      <c r="B16" s="13" t="n">
        <f aca="false">COUNTIF('3. Bitácora IA'!F5:F44,"Incorrecto")+COUNTIF('3. Bitácora IA'!F5:F44,"Inventado")</f>
        <v>4</v>
      </c>
    </row>
    <row r="17" customFormat="false" ht="15" hidden="false" customHeight="true" outlineLevel="0" collapsed="false">
      <c r="A17" s="12" t="s">
        <v>450</v>
      </c>
      <c r="B17" s="15" t="n">
        <f aca="false">IF(B15=0,"-",COUNTIF('3. Bitácora IA'!F5:F44,"Correcto")/B15)</f>
        <v>0.166666666666667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2026-09-28T11:22:59Z</dcterms:created>
  <dc:creator>openpyxl</dc:creator>
  <dc:description/>
  <dc:language>en-US</dc:language>
  <cp:lastModifiedBy>Santiago Jimenez Londono</cp:lastModifiedBy>
  <dcterms:modified xsi:type="dcterms:W3CDTF">2026-10-07T03:05:28Z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